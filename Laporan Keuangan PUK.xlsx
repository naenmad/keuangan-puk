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&amp; KPI" sheetId="1" state="visible" r:id="rId1"/>
    <sheet name="Data_Bulanan" sheetId="2" state="visible" r:id="rId2"/>
    <sheet name="Data_Transaksi" sheetId="3" state="visible" r:id="rId3"/>
    <sheet name="Rekap_Pemasukan" sheetId="4" state="visible" r:id="rId4"/>
    <sheet name="Rekap_Katego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5D8DC"/>
      <sz val="10"/>
    </font>
    <font>
      <name val="Calibri"/>
      <b val="1"/>
      <color rgb="00566573"/>
      <sz val="9"/>
    </font>
    <font>
      <name val="Calibri"/>
      <b val="1"/>
      <color rgb="000B5345"/>
      <sz val="14"/>
    </font>
    <font>
      <name val="Calibri"/>
      <b val="1"/>
      <color rgb="001E8449"/>
      <sz val="14"/>
    </font>
    <font>
      <name val="Calibri"/>
      <b val="1"/>
      <color rgb="000F2A44"/>
      <sz val="11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b val="1"/>
      <color rgb="0027AE60"/>
      <sz val="10"/>
    </font>
    <font>
      <name val="Calibri"/>
      <color rgb="00C0392B"/>
      <sz val="10"/>
    </font>
    <font>
      <name val="Calibri"/>
      <color rgb="001A1A2E"/>
      <sz val="10"/>
    </font>
    <font>
      <name val="Calibri"/>
      <b val="1"/>
      <color rgb="000F2A44"/>
      <sz val="10"/>
    </font>
  </fonts>
  <fills count="9">
    <fill>
      <patternFill/>
    </fill>
    <fill>
      <patternFill patternType="gray125"/>
    </fill>
    <fill>
      <patternFill patternType="solid">
        <fgColor rgb="000F2A44"/>
        <bgColor rgb="000F2A44"/>
      </patternFill>
    </fill>
    <fill>
      <patternFill patternType="solid">
        <fgColor rgb="00EBF5FB"/>
        <bgColor rgb="00EBF5FB"/>
      </patternFill>
    </fill>
    <fill>
      <patternFill patternType="solid">
        <fgColor rgb="00E8F8F5"/>
        <bgColor rgb="00E8F8F5"/>
      </patternFill>
    </fill>
    <fill>
      <patternFill patternType="solid">
        <fgColor rgb="001B4F72"/>
        <bgColor rgb="001B4F7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2980B9"/>
        <bgColor rgb="002980B9"/>
      </patternFill>
    </fill>
  </fills>
  <borders count="3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medium">
        <color rgb="0016A085"/>
      </left>
      <right style="medium">
        <color rgb="0016A085"/>
      </right>
      <top style="medium">
        <color rgb="0016A085"/>
      </top>
      <bottom style="medium">
        <color rgb="0016A08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right" vertical="center"/>
    </xf>
    <xf numFmtId="3" fontId="10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9" fillId="7" borderId="1" applyAlignment="1" pivotButton="0" quotePrefix="0" xfId="0">
      <alignment horizontal="right" vertical="center"/>
    </xf>
    <xf numFmtId="3" fontId="10" fillId="7" borderId="1" applyAlignment="1" pivotButton="0" quotePrefix="0" xfId="0">
      <alignment horizontal="right" vertical="center"/>
    </xf>
    <xf numFmtId="3" fontId="8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3" fontId="12" fillId="6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3" fontId="12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0" fillId="3" borderId="1" pivotButton="0" quotePrefix="0" xfId="0"/>
    <xf numFmtId="0" fontId="0" fillId="4" borderId="2" pivotButton="0" quotePrefix="0" xfId="0"/>
    <xf numFmtId="0" fontId="8" fillId="6" borderId="1" applyAlignment="1" pivotButton="0" quotePrefix="0" xfId="0">
      <alignment horizontal="left" vertical="center"/>
    </xf>
    <xf numFmtId="164" fontId="11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center" vertical="center"/>
    </xf>
    <xf numFmtId="9" fontId="7" fillId="8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right" vertical="center"/>
    </xf>
    <xf numFmtId="3" fontId="11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Perbandingan Pemasukan vs Pengeluaran Tahunan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KPI'!C10</f>
            </strRef>
          </tx>
          <spPr>
            <a:solidFill>
              <a:srgbClr val="27AE60"/>
            </a:solidFill>
            <a:ln>
              <a:prstDash val="solid"/>
            </a:ln>
          </spPr>
          <cat>
            <numRef>
              <f>'Dashboard &amp; KPI'!$B$11:$B$14</f>
            </numRef>
          </cat>
          <val>
            <numRef>
              <f>'Dashboard &amp; KPI'!$C$11:$C$14</f>
            </numRef>
          </val>
        </ser>
        <ser>
          <idx val="1"/>
          <order val="1"/>
          <tx>
            <strRef>
              <f>'Dashboard &amp; KPI'!D10</f>
            </strRef>
          </tx>
          <spPr>
            <a:solidFill>
              <a:srgbClr val="E74C3C"/>
            </a:solidFill>
            <a:ln>
              <a:prstDash val="solid"/>
            </a:ln>
          </spPr>
          <cat>
            <numRef>
              <f>'Dashboard &amp; KPI'!$B$11:$B$14</f>
            </numRef>
          </cat>
          <val>
            <numRef>
              <f>'Dashboard &amp; KPI'!$D$11:$D$14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Grafik Pergerakan Saldo Kas (Otomatis Menyesuaikan)</a:t>
            </a:r>
          </a:p>
        </rich>
      </tx>
    </title>
    <plotArea>
      <lineChart>
        <grouping val="standard"/>
        <ser>
          <idx val="0"/>
          <order val="0"/>
          <tx>
            <strRef>
              <f>'Data_Bulanan'!G4</f>
            </strRef>
          </tx>
          <spPr>
            <a:ln w="26000">
              <a:solidFill>
                <a:srgbClr val="2980B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'Data_Bulanan'!$A$5:$A$46</f>
            </numRef>
          </cat>
          <val>
            <numRef>
              <f>'Data_Bulanan'!$G$5:$G$46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Perbandingan Total Pemasukan Kas Tiap Tahun (2023 — 2026)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KPI'!C10</f>
            </strRef>
          </tx>
          <spPr>
            <a:solidFill>
              <a:srgbClr val="27AE60"/>
            </a:solidFill>
            <a:ln>
              <a:prstDash val="solid"/>
            </a:ln>
          </spPr>
          <cat>
            <numRef>
              <f>'Dashboard &amp; KPI'!$B$11:$B$14</f>
            </numRef>
          </cat>
          <val>
            <numRef>
              <f>'Dashboard &amp; KPI'!$C$11:$C$14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Tren Pemasukan Kas per Bulan Antar Tahun (Januari — Desember)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'Rekap_Pemasukan'!C20</f>
            </strRef>
          </tx>
          <spPr>
            <a:ln>
              <a:prstDash val="solid"/>
            </a:ln>
          </spPr>
          <cat>
            <numRef>
              <f>'Rekap_Pemasukan'!$B$21:$B$32</f>
            </numRef>
          </cat>
          <val>
            <numRef>
              <f>'Rekap_Pemasukan'!$C$21:$C$32</f>
            </numRef>
          </val>
        </ser>
        <ser>
          <idx val="1"/>
          <order val="1"/>
          <tx>
            <strRef>
              <f>'Rekap_Pemasukan'!D20</f>
            </strRef>
          </tx>
          <spPr>
            <a:ln>
              <a:prstDash val="solid"/>
            </a:ln>
          </spPr>
          <cat>
            <numRef>
              <f>'Rekap_Pemasukan'!$B$21:$B$32</f>
            </numRef>
          </cat>
          <val>
            <numRef>
              <f>'Rekap_Pemasukan'!$D$21:$D$32</f>
            </numRef>
          </val>
        </ser>
        <ser>
          <idx val="2"/>
          <order val="2"/>
          <tx>
            <strRef>
              <f>'Rekap_Pemasukan'!E20</f>
            </strRef>
          </tx>
          <spPr>
            <a:ln>
              <a:prstDash val="solid"/>
            </a:ln>
          </spPr>
          <cat>
            <numRef>
              <f>'Rekap_Pemasukan'!$B$21:$B$32</f>
            </numRef>
          </cat>
          <val>
            <numRef>
              <f>'Rekap_Pemasukan'!$E$21:$E$32</f>
            </numRef>
          </val>
        </ser>
        <ser>
          <idx val="3"/>
          <order val="3"/>
          <tx>
            <strRef>
              <f>'Rekap_Pemasukan'!F20</f>
            </strRef>
          </tx>
          <spPr>
            <a:ln>
              <a:prstDash val="solid"/>
            </a:ln>
          </spPr>
          <cat>
            <numRef>
              <f>'Rekap_Pemasukan'!$B$21:$B$32</f>
            </numRef>
          </cat>
          <val>
            <numRef>
              <f>'Rekap_Pemasukan'!$F$21:$F$32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Perbandingan Pengeluaran per Kategori Tiap Tahun (2023 - 2026)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'Rekap_Kategori'!C4</f>
            </strRef>
          </tx>
          <spPr>
            <a:ln>
              <a:prstDash val="solid"/>
            </a:ln>
          </spPr>
          <cat>
            <numRef>
              <f>'Rekap_Kategori'!$B$5:$B$19</f>
            </numRef>
          </cat>
          <val>
            <numRef>
              <f>'Rekap_Kategori'!$C$5:$C$19</f>
            </numRef>
          </val>
        </ser>
        <ser>
          <idx val="1"/>
          <order val="1"/>
          <tx>
            <strRef>
              <f>'Rekap_Kategori'!D4</f>
            </strRef>
          </tx>
          <spPr>
            <a:ln>
              <a:prstDash val="solid"/>
            </a:ln>
          </spPr>
          <cat>
            <numRef>
              <f>'Rekap_Kategori'!$B$5:$B$19</f>
            </numRef>
          </cat>
          <val>
            <numRef>
              <f>'Rekap_Kategori'!$D$5:$D$19</f>
            </numRef>
          </val>
        </ser>
        <ser>
          <idx val="2"/>
          <order val="2"/>
          <tx>
            <strRef>
              <f>'Rekap_Kategori'!E4</f>
            </strRef>
          </tx>
          <spPr>
            <a:ln>
              <a:prstDash val="solid"/>
            </a:ln>
          </spPr>
          <cat>
            <numRef>
              <f>'Rekap_Kategori'!$B$5:$B$19</f>
            </numRef>
          </cat>
          <val>
            <numRef>
              <f>'Rekap_Kategori'!$E$5:$E$19</f>
            </numRef>
          </val>
        </ser>
        <ser>
          <idx val="3"/>
          <order val="3"/>
          <tx>
            <strRef>
              <f>'Rekap_Kategori'!F4</f>
            </strRef>
          </tx>
          <spPr>
            <a:ln>
              <a:prstDash val="solid"/>
            </a:ln>
          </spPr>
          <cat>
            <numRef>
              <f>'Rekap_Kategori'!$B$5:$B$19</f>
            </numRef>
          </cat>
          <val>
            <numRef>
              <f>'Rekap_Kategori'!$F$5:$F$19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64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35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35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108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0F2A44"/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4" customWidth="1" min="3" max="3"/>
    <col width="24" customWidth="1" min="4" max="4"/>
    <col width="24" customWidth="1" min="5" max="5"/>
    <col width="4" customWidth="1" min="6" max="6"/>
  </cols>
  <sheetData>
    <row r="1">
      <c r="A1" s="1" t="inlineStr">
        <is>
          <t>EXECUTIVE FINANCIAL DASHBOARD — PUK PT SAI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Semua Kartu KPI dan Grafik Menggunakan Rumus Otomatis Range Bebas (SUM / SUMIF / MAX)</t>
        </is>
      </c>
      <c r="B3" s="2" t="n"/>
      <c r="C3" s="2" t="n"/>
      <c r="D3" s="2" t="n"/>
      <c r="E3" s="2" t="n"/>
    </row>
    <row r="5">
      <c r="B5" s="4" t="inlineStr">
        <is>
          <t>TOTAL PEMASUKAN KAS</t>
        </is>
      </c>
      <c r="C5" s="4" t="inlineStr">
        <is>
          <t>TOTAL PENGELUARAN KAS</t>
        </is>
      </c>
      <c r="D5" s="4" t="inlineStr">
        <is>
          <t>AKUMULASI SURPLUS (B - C)</t>
        </is>
      </c>
      <c r="E5" s="5" t="inlineStr">
        <is>
          <t>SALDO KAS TERAKHIR</t>
        </is>
      </c>
    </row>
    <row r="6">
      <c r="B6" s="6">
        <f>SUM(Data_Bulanan!E5:E1000)</f>
        <v/>
      </c>
      <c r="C6" s="6">
        <f>SUM(Data_Bulanan!F5:F1000)</f>
        <v/>
      </c>
      <c r="D6" s="6">
        <f>B6-C6</f>
        <v/>
      </c>
      <c r="E6" s="7">
        <f>LOOKUP(2,1/(Data_Bulanan!G5:G1000&lt;&gt;""),Data_Bulanan!G5:G1000)</f>
        <v/>
      </c>
    </row>
    <row r="7"/>
    <row r="9">
      <c r="B9" s="8" t="inlineStr">
        <is>
          <t>RINGKASAN PER TAHUN</t>
        </is>
      </c>
    </row>
    <row r="10">
      <c r="B10" s="9" t="inlineStr">
        <is>
          <t>Tahun</t>
        </is>
      </c>
      <c r="C10" s="9" t="inlineStr">
        <is>
          <t>Total Pemasukan (Rp)</t>
        </is>
      </c>
      <c r="D10" s="9" t="inlineStr">
        <is>
          <t>Total Pengeluaran (Rp)</t>
        </is>
      </c>
      <c r="E10" s="9" t="inlineStr">
        <is>
          <t>Surplus Tahunan (Rp)</t>
        </is>
      </c>
    </row>
    <row r="11">
      <c r="B11" s="10" t="n">
        <v>2023</v>
      </c>
      <c r="C11" s="11">
        <f>SUMIFS(Data_Bulanan!E:E, Data_Bulanan!B:B, B11)</f>
        <v/>
      </c>
      <c r="D11" s="12">
        <f>SUMIFS(Data_Bulanan!F:F, Data_Bulanan!B:B, B11)</f>
        <v/>
      </c>
      <c r="E11" s="13">
        <f>C11-D11</f>
        <v/>
      </c>
    </row>
    <row r="12">
      <c r="B12" s="14" t="n">
        <v>2024</v>
      </c>
      <c r="C12" s="15">
        <f>SUMIFS(Data_Bulanan!E:E, Data_Bulanan!B:B, B12)</f>
        <v/>
      </c>
      <c r="D12" s="16">
        <f>SUMIFS(Data_Bulanan!F:F, Data_Bulanan!B:B, B12)</f>
        <v/>
      </c>
      <c r="E12" s="17">
        <f>C12-D12</f>
        <v/>
      </c>
    </row>
    <row r="13">
      <c r="B13" s="10" t="n">
        <v>2025</v>
      </c>
      <c r="C13" s="11">
        <f>SUMIFS(Data_Bulanan!E:E, Data_Bulanan!B:B, B13)</f>
        <v/>
      </c>
      <c r="D13" s="12">
        <f>SUMIFS(Data_Bulanan!F:F, Data_Bulanan!B:B, B13)</f>
        <v/>
      </c>
      <c r="E13" s="13">
        <f>C13-D13</f>
        <v/>
      </c>
    </row>
    <row r="14">
      <c r="B14" s="14" t="n">
        <v>2026</v>
      </c>
      <c r="C14" s="15">
        <f>SUMIFS(Data_Bulanan!E:E, Data_Bulanan!B:B, B14)</f>
        <v/>
      </c>
      <c r="D14" s="16">
        <f>SUMIFS(Data_Bulanan!F:F, Data_Bulanan!B:B, B14)</f>
        <v/>
      </c>
      <c r="E14" s="17">
        <f>C14-D14</f>
        <v/>
      </c>
    </row>
    <row r="15">
      <c r="B15" s="18" t="inlineStr">
        <is>
          <t>TOTAL</t>
        </is>
      </c>
      <c r="C15" s="19">
        <f>SUM(C11:C14)</f>
        <v/>
      </c>
      <c r="D15" s="19">
        <f>SUM(D11:D14)</f>
        <v/>
      </c>
      <c r="E15" s="19">
        <f>C15-D15</f>
        <v/>
      </c>
    </row>
  </sheetData>
  <mergeCells count="10">
    <mergeCell ref="E5"/>
    <mergeCell ref="D6:D7"/>
    <mergeCell ref="D5"/>
    <mergeCell ref="A1:E2"/>
    <mergeCell ref="C6:C7"/>
    <mergeCell ref="E6:E7"/>
    <mergeCell ref="B5"/>
    <mergeCell ref="B6:B7"/>
    <mergeCell ref="C5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I4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14" customWidth="1" min="9" max="9"/>
  </cols>
  <sheetData>
    <row r="1">
      <c r="A1" s="1" t="inlineStr">
        <is>
          <t>TABEL KEUANGAN BULANAN (KONTINU &amp; MURNI)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Tabel bersih tanpa baris subtotal pemutus. Tambah baris baru di bawahnya tanpa merusak rumus!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9" t="inlineStr">
        <is>
          <t>Periode</t>
        </is>
      </c>
      <c r="B4" s="9" t="inlineStr">
        <is>
          <t>Tahun</t>
        </is>
      </c>
      <c r="C4" s="9" t="inlineStr">
        <is>
          <t>Bulan</t>
        </is>
      </c>
      <c r="D4" s="9" t="inlineStr">
        <is>
          <t>Saldo Awal (Rp)</t>
        </is>
      </c>
      <c r="E4" s="9" t="inlineStr">
        <is>
          <t>Pemasukan (Rp)</t>
        </is>
      </c>
      <c r="F4" s="9" t="inlineStr">
        <is>
          <t>Total Pengeluaran (Rp)</t>
        </is>
      </c>
      <c r="G4" s="9" t="inlineStr">
        <is>
          <t>Saldo Akhir (Rp)</t>
        </is>
      </c>
      <c r="H4" s="9" t="inlineStr">
        <is>
          <t>Surplus/Defisit (Rp)</t>
        </is>
      </c>
      <c r="I4" s="9" t="inlineStr">
        <is>
          <t>Status</t>
        </is>
      </c>
    </row>
    <row r="5">
      <c r="A5" s="10" t="inlineStr">
        <is>
          <t>2023-03</t>
        </is>
      </c>
      <c r="B5" s="20" t="n">
        <v>2023</v>
      </c>
      <c r="C5" s="21" t="inlineStr">
        <is>
          <t>Maret</t>
        </is>
      </c>
      <c r="D5" s="13" t="n">
        <v>6738000</v>
      </c>
      <c r="E5" s="11">
        <f>SUMIFS(Data_Transaksi!H:H, Data_Transaksi!A:A, A5, Data_Transaksi!G:G, "Pemasukan")</f>
        <v/>
      </c>
      <c r="F5" s="12">
        <f>SUMIFS(Data_Transaksi!H:H, Data_Transaksi!A:A, A5, Data_Transaksi!G:G, "Pengeluaran")</f>
        <v/>
      </c>
      <c r="G5" s="22">
        <f>D5+E5-F5</f>
        <v/>
      </c>
      <c r="H5" s="13">
        <f>E5-F5</f>
        <v/>
      </c>
      <c r="I5" s="10">
        <f>IF(H5&gt;=0, "SURPLUS", "DEFISIT")</f>
        <v/>
      </c>
    </row>
    <row r="6">
      <c r="A6" s="14" t="inlineStr">
        <is>
          <t>2023-04</t>
        </is>
      </c>
      <c r="B6" s="23" t="n">
        <v>2023</v>
      </c>
      <c r="C6" s="24" t="inlineStr">
        <is>
          <t>April</t>
        </is>
      </c>
      <c r="D6" s="17">
        <f>G5</f>
        <v/>
      </c>
      <c r="E6" s="15">
        <f>SUMIFS(Data_Transaksi!H:H, Data_Transaksi!A:A, A6, Data_Transaksi!G:G, "Pemasukan")</f>
        <v/>
      </c>
      <c r="F6" s="16">
        <f>SUMIFS(Data_Transaksi!H:H, Data_Transaksi!A:A, A6, Data_Transaksi!G:G, "Pengeluaran")</f>
        <v/>
      </c>
      <c r="G6" s="25">
        <f>D6+E6-F6</f>
        <v/>
      </c>
      <c r="H6" s="17">
        <f>E6-F6</f>
        <v/>
      </c>
      <c r="I6" s="14">
        <f>IF(H6&gt;=0, "SURPLUS", "DEFISIT")</f>
        <v/>
      </c>
    </row>
    <row r="7">
      <c r="A7" s="10" t="inlineStr">
        <is>
          <t>2023-05</t>
        </is>
      </c>
      <c r="B7" s="20" t="n">
        <v>2023</v>
      </c>
      <c r="C7" s="21" t="inlineStr">
        <is>
          <t>Mei</t>
        </is>
      </c>
      <c r="D7" s="13">
        <f>G6</f>
        <v/>
      </c>
      <c r="E7" s="11">
        <f>SUMIFS(Data_Transaksi!H:H, Data_Transaksi!A:A, A7, Data_Transaksi!G:G, "Pemasukan")</f>
        <v/>
      </c>
      <c r="F7" s="12">
        <f>SUMIFS(Data_Transaksi!H:H, Data_Transaksi!A:A, A7, Data_Transaksi!G:G, "Pengeluaran")</f>
        <v/>
      </c>
      <c r="G7" s="22">
        <f>D7+E7-F7</f>
        <v/>
      </c>
      <c r="H7" s="13">
        <f>E7-F7</f>
        <v/>
      </c>
      <c r="I7" s="10">
        <f>IF(H7&gt;=0, "SURPLUS", "DEFISIT")</f>
        <v/>
      </c>
    </row>
    <row r="8">
      <c r="A8" s="14" t="inlineStr">
        <is>
          <t>2023-06</t>
        </is>
      </c>
      <c r="B8" s="23" t="n">
        <v>2023</v>
      </c>
      <c r="C8" s="24" t="inlineStr">
        <is>
          <t>Juni</t>
        </is>
      </c>
      <c r="D8" s="17">
        <f>G7</f>
        <v/>
      </c>
      <c r="E8" s="15">
        <f>SUMIFS(Data_Transaksi!H:H, Data_Transaksi!A:A, A8, Data_Transaksi!G:G, "Pemasukan")</f>
        <v/>
      </c>
      <c r="F8" s="16">
        <f>SUMIFS(Data_Transaksi!H:H, Data_Transaksi!A:A, A8, Data_Transaksi!G:G, "Pengeluaran")</f>
        <v/>
      </c>
      <c r="G8" s="25">
        <f>D8+E8-F8</f>
        <v/>
      </c>
      <c r="H8" s="17">
        <f>E8-F8</f>
        <v/>
      </c>
      <c r="I8" s="14">
        <f>IF(H8&gt;=0, "SURPLUS", "DEFISIT")</f>
        <v/>
      </c>
    </row>
    <row r="9">
      <c r="A9" s="10" t="inlineStr">
        <is>
          <t>2023-07</t>
        </is>
      </c>
      <c r="B9" s="20" t="n">
        <v>2023</v>
      </c>
      <c r="C9" s="21" t="inlineStr">
        <is>
          <t>Juli</t>
        </is>
      </c>
      <c r="D9" s="13">
        <f>G8</f>
        <v/>
      </c>
      <c r="E9" s="11">
        <f>SUMIFS(Data_Transaksi!H:H, Data_Transaksi!A:A, A9, Data_Transaksi!G:G, "Pemasukan")</f>
        <v/>
      </c>
      <c r="F9" s="12">
        <f>SUMIFS(Data_Transaksi!H:H, Data_Transaksi!A:A, A9, Data_Transaksi!G:G, "Pengeluaran")</f>
        <v/>
      </c>
      <c r="G9" s="22">
        <f>D9+E9-F9</f>
        <v/>
      </c>
      <c r="H9" s="13">
        <f>E9-F9</f>
        <v/>
      </c>
      <c r="I9" s="10">
        <f>IF(H9&gt;=0, "SURPLUS", "DEFISIT")</f>
        <v/>
      </c>
    </row>
    <row r="10">
      <c r="A10" s="14" t="inlineStr">
        <is>
          <t>2023-08</t>
        </is>
      </c>
      <c r="B10" s="23" t="n">
        <v>2023</v>
      </c>
      <c r="C10" s="24" t="inlineStr">
        <is>
          <t>Agustus</t>
        </is>
      </c>
      <c r="D10" s="17">
        <f>G9</f>
        <v/>
      </c>
      <c r="E10" s="15">
        <f>SUMIFS(Data_Transaksi!H:H, Data_Transaksi!A:A, A10, Data_Transaksi!G:G, "Pemasukan")</f>
        <v/>
      </c>
      <c r="F10" s="16">
        <f>SUMIFS(Data_Transaksi!H:H, Data_Transaksi!A:A, A10, Data_Transaksi!G:G, "Pengeluaran")</f>
        <v/>
      </c>
      <c r="G10" s="25">
        <f>D10+E10-F10</f>
        <v/>
      </c>
      <c r="H10" s="17">
        <f>E10-F10</f>
        <v/>
      </c>
      <c r="I10" s="14">
        <f>IF(H10&gt;=0, "SURPLUS", "DEFISIT")</f>
        <v/>
      </c>
    </row>
    <row r="11">
      <c r="A11" s="10" t="inlineStr">
        <is>
          <t>2023-09</t>
        </is>
      </c>
      <c r="B11" s="20" t="n">
        <v>2023</v>
      </c>
      <c r="C11" s="21" t="inlineStr">
        <is>
          <t>September</t>
        </is>
      </c>
      <c r="D11" s="13">
        <f>G10</f>
        <v/>
      </c>
      <c r="E11" s="11">
        <f>SUMIFS(Data_Transaksi!H:H, Data_Transaksi!A:A, A11, Data_Transaksi!G:G, "Pemasukan")</f>
        <v/>
      </c>
      <c r="F11" s="12">
        <f>SUMIFS(Data_Transaksi!H:H, Data_Transaksi!A:A, A11, Data_Transaksi!G:G, "Pengeluaran")</f>
        <v/>
      </c>
      <c r="G11" s="22">
        <f>D11+E11-F11</f>
        <v/>
      </c>
      <c r="H11" s="13">
        <f>E11-F11</f>
        <v/>
      </c>
      <c r="I11" s="10">
        <f>IF(H11&gt;=0, "SURPLUS", "DEFISIT")</f>
        <v/>
      </c>
    </row>
    <row r="12">
      <c r="A12" s="14" t="inlineStr">
        <is>
          <t>2023-10</t>
        </is>
      </c>
      <c r="B12" s="23" t="n">
        <v>2023</v>
      </c>
      <c r="C12" s="24" t="inlineStr">
        <is>
          <t>Oktober</t>
        </is>
      </c>
      <c r="D12" s="17">
        <f>G11</f>
        <v/>
      </c>
      <c r="E12" s="15">
        <f>SUMIFS(Data_Transaksi!H:H, Data_Transaksi!A:A, A12, Data_Transaksi!G:G, "Pemasukan")</f>
        <v/>
      </c>
      <c r="F12" s="16">
        <f>SUMIFS(Data_Transaksi!H:H, Data_Transaksi!A:A, A12, Data_Transaksi!G:G, "Pengeluaran")</f>
        <v/>
      </c>
      <c r="G12" s="25">
        <f>D12+E12-F12</f>
        <v/>
      </c>
      <c r="H12" s="17">
        <f>E12-F12</f>
        <v/>
      </c>
      <c r="I12" s="14">
        <f>IF(H12&gt;=0, "SURPLUS", "DEFISIT")</f>
        <v/>
      </c>
    </row>
    <row r="13">
      <c r="A13" s="10" t="inlineStr">
        <is>
          <t>2023-11</t>
        </is>
      </c>
      <c r="B13" s="20" t="n">
        <v>2023</v>
      </c>
      <c r="C13" s="21" t="inlineStr">
        <is>
          <t>November</t>
        </is>
      </c>
      <c r="D13" s="13">
        <f>G12</f>
        <v/>
      </c>
      <c r="E13" s="11">
        <f>SUMIFS(Data_Transaksi!H:H, Data_Transaksi!A:A, A13, Data_Transaksi!G:G, "Pemasukan")</f>
        <v/>
      </c>
      <c r="F13" s="12">
        <f>SUMIFS(Data_Transaksi!H:H, Data_Transaksi!A:A, A13, Data_Transaksi!G:G, "Pengeluaran")</f>
        <v/>
      </c>
      <c r="G13" s="22">
        <f>D13+E13-F13</f>
        <v/>
      </c>
      <c r="H13" s="13">
        <f>E13-F13</f>
        <v/>
      </c>
      <c r="I13" s="10">
        <f>IF(H13&gt;=0, "SURPLUS", "DEFISIT")</f>
        <v/>
      </c>
    </row>
    <row r="14">
      <c r="A14" s="14" t="inlineStr">
        <is>
          <t>2023-12</t>
        </is>
      </c>
      <c r="B14" s="23" t="n">
        <v>2023</v>
      </c>
      <c r="C14" s="24" t="inlineStr">
        <is>
          <t>Desember</t>
        </is>
      </c>
      <c r="D14" s="17">
        <f>G13</f>
        <v/>
      </c>
      <c r="E14" s="15">
        <f>SUMIFS(Data_Transaksi!H:H, Data_Transaksi!A:A, A14, Data_Transaksi!G:G, "Pemasukan")</f>
        <v/>
      </c>
      <c r="F14" s="16">
        <f>SUMIFS(Data_Transaksi!H:H, Data_Transaksi!A:A, A14, Data_Transaksi!G:G, "Pengeluaran")</f>
        <v/>
      </c>
      <c r="G14" s="25">
        <f>D14+E14-F14</f>
        <v/>
      </c>
      <c r="H14" s="17">
        <f>E14-F14</f>
        <v/>
      </c>
      <c r="I14" s="14">
        <f>IF(H14&gt;=0, "SURPLUS", "DEFISIT")</f>
        <v/>
      </c>
    </row>
    <row r="15">
      <c r="A15" s="10" t="inlineStr">
        <is>
          <t>2024-01</t>
        </is>
      </c>
      <c r="B15" s="20" t="n">
        <v>2024</v>
      </c>
      <c r="C15" s="21" t="inlineStr">
        <is>
          <t>Januari</t>
        </is>
      </c>
      <c r="D15" s="13">
        <f>G14</f>
        <v/>
      </c>
      <c r="E15" s="11">
        <f>SUMIFS(Data_Transaksi!H:H, Data_Transaksi!A:A, A15, Data_Transaksi!G:G, "Pemasukan")</f>
        <v/>
      </c>
      <c r="F15" s="12">
        <f>SUMIFS(Data_Transaksi!H:H, Data_Transaksi!A:A, A15, Data_Transaksi!G:G, "Pengeluaran")</f>
        <v/>
      </c>
      <c r="G15" s="22">
        <f>D15+E15-F15</f>
        <v/>
      </c>
      <c r="H15" s="13">
        <f>E15-F15</f>
        <v/>
      </c>
      <c r="I15" s="10">
        <f>IF(H15&gt;=0, "SURPLUS", "DEFISIT")</f>
        <v/>
      </c>
    </row>
    <row r="16">
      <c r="A16" s="14" t="inlineStr">
        <is>
          <t>2024-02</t>
        </is>
      </c>
      <c r="B16" s="23" t="n">
        <v>2024</v>
      </c>
      <c r="C16" s="24" t="inlineStr">
        <is>
          <t>Februari</t>
        </is>
      </c>
      <c r="D16" s="17">
        <f>G15</f>
        <v/>
      </c>
      <c r="E16" s="15">
        <f>SUMIFS(Data_Transaksi!H:H, Data_Transaksi!A:A, A16, Data_Transaksi!G:G, "Pemasukan")</f>
        <v/>
      </c>
      <c r="F16" s="16">
        <f>SUMIFS(Data_Transaksi!H:H, Data_Transaksi!A:A, A16, Data_Transaksi!G:G, "Pengeluaran")</f>
        <v/>
      </c>
      <c r="G16" s="25">
        <f>D16+E16-F16</f>
        <v/>
      </c>
      <c r="H16" s="17">
        <f>E16-F16</f>
        <v/>
      </c>
      <c r="I16" s="14">
        <f>IF(H16&gt;=0, "SURPLUS", "DEFISIT")</f>
        <v/>
      </c>
    </row>
    <row r="17">
      <c r="A17" s="10" t="inlineStr">
        <is>
          <t>2024-03</t>
        </is>
      </c>
      <c r="B17" s="20" t="n">
        <v>2024</v>
      </c>
      <c r="C17" s="21" t="inlineStr">
        <is>
          <t>Maret</t>
        </is>
      </c>
      <c r="D17" s="13">
        <f>G16</f>
        <v/>
      </c>
      <c r="E17" s="11">
        <f>SUMIFS(Data_Transaksi!H:H, Data_Transaksi!A:A, A17, Data_Transaksi!G:G, "Pemasukan")</f>
        <v/>
      </c>
      <c r="F17" s="12">
        <f>SUMIFS(Data_Transaksi!H:H, Data_Transaksi!A:A, A17, Data_Transaksi!G:G, "Pengeluaran")</f>
        <v/>
      </c>
      <c r="G17" s="22">
        <f>D17+E17-F17</f>
        <v/>
      </c>
      <c r="H17" s="13">
        <f>E17-F17</f>
        <v/>
      </c>
      <c r="I17" s="10">
        <f>IF(H17&gt;=0, "SURPLUS", "DEFISIT")</f>
        <v/>
      </c>
    </row>
    <row r="18">
      <c r="A18" s="14" t="inlineStr">
        <is>
          <t>2024-04</t>
        </is>
      </c>
      <c r="B18" s="23" t="n">
        <v>2024</v>
      </c>
      <c r="C18" s="24" t="inlineStr">
        <is>
          <t>April</t>
        </is>
      </c>
      <c r="D18" s="17">
        <f>G17</f>
        <v/>
      </c>
      <c r="E18" s="15">
        <f>SUMIFS(Data_Transaksi!H:H, Data_Transaksi!A:A, A18, Data_Transaksi!G:G, "Pemasukan")</f>
        <v/>
      </c>
      <c r="F18" s="16">
        <f>SUMIFS(Data_Transaksi!H:H, Data_Transaksi!A:A, A18, Data_Transaksi!G:G, "Pengeluaran")</f>
        <v/>
      </c>
      <c r="G18" s="25">
        <f>D18+E18-F18</f>
        <v/>
      </c>
      <c r="H18" s="17">
        <f>E18-F18</f>
        <v/>
      </c>
      <c r="I18" s="14">
        <f>IF(H18&gt;=0, "SURPLUS", "DEFISIT")</f>
        <v/>
      </c>
    </row>
    <row r="19">
      <c r="A19" s="10" t="inlineStr">
        <is>
          <t>2024-05</t>
        </is>
      </c>
      <c r="B19" s="20" t="n">
        <v>2024</v>
      </c>
      <c r="C19" s="21" t="inlineStr">
        <is>
          <t>Mei</t>
        </is>
      </c>
      <c r="D19" s="13">
        <f>G18</f>
        <v/>
      </c>
      <c r="E19" s="11">
        <f>SUMIFS(Data_Transaksi!H:H, Data_Transaksi!A:A, A19, Data_Transaksi!G:G, "Pemasukan")</f>
        <v/>
      </c>
      <c r="F19" s="12">
        <f>SUMIFS(Data_Transaksi!H:H, Data_Transaksi!A:A, A19, Data_Transaksi!G:G, "Pengeluaran")</f>
        <v/>
      </c>
      <c r="G19" s="22">
        <f>D19+E19-F19</f>
        <v/>
      </c>
      <c r="H19" s="13">
        <f>E19-F19</f>
        <v/>
      </c>
      <c r="I19" s="10">
        <f>IF(H19&gt;=0, "SURPLUS", "DEFISIT")</f>
        <v/>
      </c>
    </row>
    <row r="20">
      <c r="A20" s="14" t="inlineStr">
        <is>
          <t>2024-06</t>
        </is>
      </c>
      <c r="B20" s="23" t="n">
        <v>2024</v>
      </c>
      <c r="C20" s="24" t="inlineStr">
        <is>
          <t>Juni</t>
        </is>
      </c>
      <c r="D20" s="17">
        <f>G19</f>
        <v/>
      </c>
      <c r="E20" s="15">
        <f>SUMIFS(Data_Transaksi!H:H, Data_Transaksi!A:A, A20, Data_Transaksi!G:G, "Pemasukan")</f>
        <v/>
      </c>
      <c r="F20" s="16">
        <f>SUMIFS(Data_Transaksi!H:H, Data_Transaksi!A:A, A20, Data_Transaksi!G:G, "Pengeluaran")</f>
        <v/>
      </c>
      <c r="G20" s="25">
        <f>D20+E20-F20</f>
        <v/>
      </c>
      <c r="H20" s="17">
        <f>E20-F20</f>
        <v/>
      </c>
      <c r="I20" s="14">
        <f>IF(H20&gt;=0, "SURPLUS", "DEFISIT")</f>
        <v/>
      </c>
    </row>
    <row r="21">
      <c r="A21" s="10" t="inlineStr">
        <is>
          <t>2024-07</t>
        </is>
      </c>
      <c r="B21" s="20" t="n">
        <v>2024</v>
      </c>
      <c r="C21" s="21" t="inlineStr">
        <is>
          <t>Juli</t>
        </is>
      </c>
      <c r="D21" s="13">
        <f>G20</f>
        <v/>
      </c>
      <c r="E21" s="11">
        <f>SUMIFS(Data_Transaksi!H:H, Data_Transaksi!A:A, A21, Data_Transaksi!G:G, "Pemasukan")</f>
        <v/>
      </c>
      <c r="F21" s="12">
        <f>SUMIFS(Data_Transaksi!H:H, Data_Transaksi!A:A, A21, Data_Transaksi!G:G, "Pengeluaran")</f>
        <v/>
      </c>
      <c r="G21" s="22">
        <f>D21+E21-F21</f>
        <v/>
      </c>
      <c r="H21" s="13">
        <f>E21-F21</f>
        <v/>
      </c>
      <c r="I21" s="10">
        <f>IF(H21&gt;=0, "SURPLUS", "DEFISIT")</f>
        <v/>
      </c>
    </row>
    <row r="22">
      <c r="A22" s="14" t="inlineStr">
        <is>
          <t>2024-08</t>
        </is>
      </c>
      <c r="B22" s="23" t="n">
        <v>2024</v>
      </c>
      <c r="C22" s="24" t="inlineStr">
        <is>
          <t>Agustus</t>
        </is>
      </c>
      <c r="D22" s="17">
        <f>G21</f>
        <v/>
      </c>
      <c r="E22" s="15">
        <f>SUMIFS(Data_Transaksi!H:H, Data_Transaksi!A:A, A22, Data_Transaksi!G:G, "Pemasukan")</f>
        <v/>
      </c>
      <c r="F22" s="16">
        <f>SUMIFS(Data_Transaksi!H:H, Data_Transaksi!A:A, A22, Data_Transaksi!G:G, "Pengeluaran")</f>
        <v/>
      </c>
      <c r="G22" s="25">
        <f>D22+E22-F22</f>
        <v/>
      </c>
      <c r="H22" s="17">
        <f>E22-F22</f>
        <v/>
      </c>
      <c r="I22" s="14">
        <f>IF(H22&gt;=0, "SURPLUS", "DEFISIT")</f>
        <v/>
      </c>
    </row>
    <row r="23">
      <c r="A23" s="10" t="inlineStr">
        <is>
          <t>2024-09</t>
        </is>
      </c>
      <c r="B23" s="20" t="n">
        <v>2024</v>
      </c>
      <c r="C23" s="21" t="inlineStr">
        <is>
          <t>September</t>
        </is>
      </c>
      <c r="D23" s="13">
        <f>G22</f>
        <v/>
      </c>
      <c r="E23" s="11">
        <f>SUMIFS(Data_Transaksi!H:H, Data_Transaksi!A:A, A23, Data_Transaksi!G:G, "Pemasukan")</f>
        <v/>
      </c>
      <c r="F23" s="12">
        <f>SUMIFS(Data_Transaksi!H:H, Data_Transaksi!A:A, A23, Data_Transaksi!G:G, "Pengeluaran")</f>
        <v/>
      </c>
      <c r="G23" s="22">
        <f>D23+E23-F23</f>
        <v/>
      </c>
      <c r="H23" s="13">
        <f>E23-F23</f>
        <v/>
      </c>
      <c r="I23" s="10">
        <f>IF(H23&gt;=0, "SURPLUS", "DEFISIT")</f>
        <v/>
      </c>
    </row>
    <row r="24">
      <c r="A24" s="14" t="inlineStr">
        <is>
          <t>2024-10</t>
        </is>
      </c>
      <c r="B24" s="23" t="n">
        <v>2024</v>
      </c>
      <c r="C24" s="24" t="inlineStr">
        <is>
          <t>Oktober</t>
        </is>
      </c>
      <c r="D24" s="17">
        <f>G23</f>
        <v/>
      </c>
      <c r="E24" s="15">
        <f>SUMIFS(Data_Transaksi!H:H, Data_Transaksi!A:A, A24, Data_Transaksi!G:G, "Pemasukan")</f>
        <v/>
      </c>
      <c r="F24" s="16">
        <f>SUMIFS(Data_Transaksi!H:H, Data_Transaksi!A:A, A24, Data_Transaksi!G:G, "Pengeluaran")</f>
        <v/>
      </c>
      <c r="G24" s="25">
        <f>D24+E24-F24</f>
        <v/>
      </c>
      <c r="H24" s="17">
        <f>E24-F24</f>
        <v/>
      </c>
      <c r="I24" s="14">
        <f>IF(H24&gt;=0, "SURPLUS", "DEFISIT")</f>
        <v/>
      </c>
    </row>
    <row r="25">
      <c r="A25" s="10" t="inlineStr">
        <is>
          <t>2024-11</t>
        </is>
      </c>
      <c r="B25" s="20" t="n">
        <v>2024</v>
      </c>
      <c r="C25" s="21" t="inlineStr">
        <is>
          <t>November</t>
        </is>
      </c>
      <c r="D25" s="13">
        <f>G24</f>
        <v/>
      </c>
      <c r="E25" s="11">
        <f>SUMIFS(Data_Transaksi!H:H, Data_Transaksi!A:A, A25, Data_Transaksi!G:G, "Pemasukan")</f>
        <v/>
      </c>
      <c r="F25" s="12">
        <f>SUMIFS(Data_Transaksi!H:H, Data_Transaksi!A:A, A25, Data_Transaksi!G:G, "Pengeluaran")</f>
        <v/>
      </c>
      <c r="G25" s="22">
        <f>D25+E25-F25</f>
        <v/>
      </c>
      <c r="H25" s="13">
        <f>E25-F25</f>
        <v/>
      </c>
      <c r="I25" s="10">
        <f>IF(H25&gt;=0, "SURPLUS", "DEFISIT")</f>
        <v/>
      </c>
    </row>
    <row r="26">
      <c r="A26" s="14" t="inlineStr">
        <is>
          <t>2024-12</t>
        </is>
      </c>
      <c r="B26" s="23" t="n">
        <v>2024</v>
      </c>
      <c r="C26" s="24" t="inlineStr">
        <is>
          <t>Desember</t>
        </is>
      </c>
      <c r="D26" s="17">
        <f>G25</f>
        <v/>
      </c>
      <c r="E26" s="15">
        <f>SUMIFS(Data_Transaksi!H:H, Data_Transaksi!A:A, A26, Data_Transaksi!G:G, "Pemasukan")</f>
        <v/>
      </c>
      <c r="F26" s="16">
        <f>SUMIFS(Data_Transaksi!H:H, Data_Transaksi!A:A, A26, Data_Transaksi!G:G, "Pengeluaran")</f>
        <v/>
      </c>
      <c r="G26" s="25">
        <f>D26+E26-F26</f>
        <v/>
      </c>
      <c r="H26" s="17">
        <f>E26-F26</f>
        <v/>
      </c>
      <c r="I26" s="14">
        <f>IF(H26&gt;=0, "SURPLUS", "DEFISIT")</f>
        <v/>
      </c>
    </row>
    <row r="27">
      <c r="A27" s="10" t="inlineStr">
        <is>
          <t>2025-01</t>
        </is>
      </c>
      <c r="B27" s="20" t="n">
        <v>2025</v>
      </c>
      <c r="C27" s="21" t="inlineStr">
        <is>
          <t>Januari</t>
        </is>
      </c>
      <c r="D27" s="13">
        <f>G26</f>
        <v/>
      </c>
      <c r="E27" s="11">
        <f>SUMIFS(Data_Transaksi!H:H, Data_Transaksi!A:A, A27, Data_Transaksi!G:G, "Pemasukan")</f>
        <v/>
      </c>
      <c r="F27" s="12">
        <f>SUMIFS(Data_Transaksi!H:H, Data_Transaksi!A:A, A27, Data_Transaksi!G:G, "Pengeluaran")</f>
        <v/>
      </c>
      <c r="G27" s="22">
        <f>D27+E27-F27</f>
        <v/>
      </c>
      <c r="H27" s="13">
        <f>E27-F27</f>
        <v/>
      </c>
      <c r="I27" s="10">
        <f>IF(H27&gt;=0, "SURPLUS", "DEFISIT")</f>
        <v/>
      </c>
    </row>
    <row r="28">
      <c r="A28" s="14" t="inlineStr">
        <is>
          <t>2025-02</t>
        </is>
      </c>
      <c r="B28" s="23" t="n">
        <v>2025</v>
      </c>
      <c r="C28" s="24" t="inlineStr">
        <is>
          <t>Februari</t>
        </is>
      </c>
      <c r="D28" s="17">
        <f>G27</f>
        <v/>
      </c>
      <c r="E28" s="15">
        <f>SUMIFS(Data_Transaksi!H:H, Data_Transaksi!A:A, A28, Data_Transaksi!G:G, "Pemasukan")</f>
        <v/>
      </c>
      <c r="F28" s="16">
        <f>SUMIFS(Data_Transaksi!H:H, Data_Transaksi!A:A, A28, Data_Transaksi!G:G, "Pengeluaran")</f>
        <v/>
      </c>
      <c r="G28" s="25">
        <f>D28+E28-F28</f>
        <v/>
      </c>
      <c r="H28" s="17">
        <f>E28-F28</f>
        <v/>
      </c>
      <c r="I28" s="14">
        <f>IF(H28&gt;=0, "SURPLUS", "DEFISIT")</f>
        <v/>
      </c>
    </row>
    <row r="29">
      <c r="A29" s="10" t="inlineStr">
        <is>
          <t>2025-03</t>
        </is>
      </c>
      <c r="B29" s="20" t="n">
        <v>2025</v>
      </c>
      <c r="C29" s="21" t="inlineStr">
        <is>
          <t>Maret</t>
        </is>
      </c>
      <c r="D29" s="13">
        <f>G28</f>
        <v/>
      </c>
      <c r="E29" s="11">
        <f>SUMIFS(Data_Transaksi!H:H, Data_Transaksi!A:A, A29, Data_Transaksi!G:G, "Pemasukan")</f>
        <v/>
      </c>
      <c r="F29" s="12">
        <f>SUMIFS(Data_Transaksi!H:H, Data_Transaksi!A:A, A29, Data_Transaksi!G:G, "Pengeluaran")</f>
        <v/>
      </c>
      <c r="G29" s="22">
        <f>D29+E29-F29</f>
        <v/>
      </c>
      <c r="H29" s="13">
        <f>E29-F29</f>
        <v/>
      </c>
      <c r="I29" s="10">
        <f>IF(H29&gt;=0, "SURPLUS", "DEFISIT")</f>
        <v/>
      </c>
    </row>
    <row r="30">
      <c r="A30" s="14" t="inlineStr">
        <is>
          <t>2025-04</t>
        </is>
      </c>
      <c r="B30" s="23" t="n">
        <v>2025</v>
      </c>
      <c r="C30" s="24" t="inlineStr">
        <is>
          <t>April</t>
        </is>
      </c>
      <c r="D30" s="17">
        <f>G29</f>
        <v/>
      </c>
      <c r="E30" s="15">
        <f>SUMIFS(Data_Transaksi!H:H, Data_Transaksi!A:A, A30, Data_Transaksi!G:G, "Pemasukan")</f>
        <v/>
      </c>
      <c r="F30" s="16">
        <f>SUMIFS(Data_Transaksi!H:H, Data_Transaksi!A:A, A30, Data_Transaksi!G:G, "Pengeluaran")</f>
        <v/>
      </c>
      <c r="G30" s="25">
        <f>D30+E30-F30</f>
        <v/>
      </c>
      <c r="H30" s="17">
        <f>E30-F30</f>
        <v/>
      </c>
      <c r="I30" s="14">
        <f>IF(H30&gt;=0, "SURPLUS", "DEFISIT")</f>
        <v/>
      </c>
    </row>
    <row r="31">
      <c r="A31" s="10" t="inlineStr">
        <is>
          <t>2025-05</t>
        </is>
      </c>
      <c r="B31" s="20" t="n">
        <v>2025</v>
      </c>
      <c r="C31" s="21" t="inlineStr">
        <is>
          <t>Mei</t>
        </is>
      </c>
      <c r="D31" s="13">
        <f>G30</f>
        <v/>
      </c>
      <c r="E31" s="11">
        <f>SUMIFS(Data_Transaksi!H:H, Data_Transaksi!A:A, A31, Data_Transaksi!G:G, "Pemasukan")</f>
        <v/>
      </c>
      <c r="F31" s="12">
        <f>SUMIFS(Data_Transaksi!H:H, Data_Transaksi!A:A, A31, Data_Transaksi!G:G, "Pengeluaran")</f>
        <v/>
      </c>
      <c r="G31" s="22">
        <f>D31+E31-F31</f>
        <v/>
      </c>
      <c r="H31" s="13">
        <f>E31-F31</f>
        <v/>
      </c>
      <c r="I31" s="10">
        <f>IF(H31&gt;=0, "SURPLUS", "DEFISIT")</f>
        <v/>
      </c>
    </row>
    <row r="32">
      <c r="A32" s="14" t="inlineStr">
        <is>
          <t>2025-06</t>
        </is>
      </c>
      <c r="B32" s="23" t="n">
        <v>2025</v>
      </c>
      <c r="C32" s="24" t="inlineStr">
        <is>
          <t>Juni</t>
        </is>
      </c>
      <c r="D32" s="17">
        <f>G31</f>
        <v/>
      </c>
      <c r="E32" s="15">
        <f>SUMIFS(Data_Transaksi!H:H, Data_Transaksi!A:A, A32, Data_Transaksi!G:G, "Pemasukan")</f>
        <v/>
      </c>
      <c r="F32" s="16">
        <f>SUMIFS(Data_Transaksi!H:H, Data_Transaksi!A:A, A32, Data_Transaksi!G:G, "Pengeluaran")</f>
        <v/>
      </c>
      <c r="G32" s="25">
        <f>D32+E32-F32</f>
        <v/>
      </c>
      <c r="H32" s="17">
        <f>E32-F32</f>
        <v/>
      </c>
      <c r="I32" s="14">
        <f>IF(H32&gt;=0, "SURPLUS", "DEFISIT")</f>
        <v/>
      </c>
    </row>
    <row r="33">
      <c r="A33" s="10" t="inlineStr">
        <is>
          <t>2025-07</t>
        </is>
      </c>
      <c r="B33" s="20" t="n">
        <v>2025</v>
      </c>
      <c r="C33" s="21" t="inlineStr">
        <is>
          <t>Juli</t>
        </is>
      </c>
      <c r="D33" s="13">
        <f>G32</f>
        <v/>
      </c>
      <c r="E33" s="11">
        <f>SUMIFS(Data_Transaksi!H:H, Data_Transaksi!A:A, A33, Data_Transaksi!G:G, "Pemasukan")</f>
        <v/>
      </c>
      <c r="F33" s="12">
        <f>SUMIFS(Data_Transaksi!H:H, Data_Transaksi!A:A, A33, Data_Transaksi!G:G, "Pengeluaran")</f>
        <v/>
      </c>
      <c r="G33" s="22">
        <f>D33+E33-F33</f>
        <v/>
      </c>
      <c r="H33" s="13">
        <f>E33-F33</f>
        <v/>
      </c>
      <c r="I33" s="10">
        <f>IF(H33&gt;=0, "SURPLUS", "DEFISIT")</f>
        <v/>
      </c>
    </row>
    <row r="34">
      <c r="A34" s="14" t="inlineStr">
        <is>
          <t>2025-08</t>
        </is>
      </c>
      <c r="B34" s="23" t="n">
        <v>2025</v>
      </c>
      <c r="C34" s="24" t="inlineStr">
        <is>
          <t>Agustus</t>
        </is>
      </c>
      <c r="D34" s="17">
        <f>G33</f>
        <v/>
      </c>
      <c r="E34" s="15">
        <f>SUMIFS(Data_Transaksi!H:H, Data_Transaksi!A:A, A34, Data_Transaksi!G:G, "Pemasukan")</f>
        <v/>
      </c>
      <c r="F34" s="16">
        <f>SUMIFS(Data_Transaksi!H:H, Data_Transaksi!A:A, A34, Data_Transaksi!G:G, "Pengeluaran")</f>
        <v/>
      </c>
      <c r="G34" s="25">
        <f>D34+E34-F34</f>
        <v/>
      </c>
      <c r="H34" s="17">
        <f>E34-F34</f>
        <v/>
      </c>
      <c r="I34" s="14">
        <f>IF(H34&gt;=0, "SURPLUS", "DEFISIT")</f>
        <v/>
      </c>
    </row>
    <row r="35">
      <c r="A35" s="10" t="inlineStr">
        <is>
          <t>2025-09</t>
        </is>
      </c>
      <c r="B35" s="20" t="n">
        <v>2025</v>
      </c>
      <c r="C35" s="21" t="inlineStr">
        <is>
          <t>September</t>
        </is>
      </c>
      <c r="D35" s="13">
        <f>G34</f>
        <v/>
      </c>
      <c r="E35" s="11">
        <f>SUMIFS(Data_Transaksi!H:H, Data_Transaksi!A:A, A35, Data_Transaksi!G:G, "Pemasukan")</f>
        <v/>
      </c>
      <c r="F35" s="12">
        <f>SUMIFS(Data_Transaksi!H:H, Data_Transaksi!A:A, A35, Data_Transaksi!G:G, "Pengeluaran")</f>
        <v/>
      </c>
      <c r="G35" s="22">
        <f>D35+E35-F35</f>
        <v/>
      </c>
      <c r="H35" s="13">
        <f>E35-F35</f>
        <v/>
      </c>
      <c r="I35" s="10">
        <f>IF(H35&gt;=0, "SURPLUS", "DEFISIT")</f>
        <v/>
      </c>
    </row>
    <row r="36">
      <c r="A36" s="14" t="inlineStr">
        <is>
          <t>2025-10</t>
        </is>
      </c>
      <c r="B36" s="23" t="n">
        <v>2025</v>
      </c>
      <c r="C36" s="24" t="inlineStr">
        <is>
          <t>Oktober</t>
        </is>
      </c>
      <c r="D36" s="17">
        <f>G35</f>
        <v/>
      </c>
      <c r="E36" s="15">
        <f>SUMIFS(Data_Transaksi!H:H, Data_Transaksi!A:A, A36, Data_Transaksi!G:G, "Pemasukan")</f>
        <v/>
      </c>
      <c r="F36" s="16">
        <f>SUMIFS(Data_Transaksi!H:H, Data_Transaksi!A:A, A36, Data_Transaksi!G:G, "Pengeluaran")</f>
        <v/>
      </c>
      <c r="G36" s="25">
        <f>D36+E36-F36</f>
        <v/>
      </c>
      <c r="H36" s="17">
        <f>E36-F36</f>
        <v/>
      </c>
      <c r="I36" s="14">
        <f>IF(H36&gt;=0, "SURPLUS", "DEFISIT")</f>
        <v/>
      </c>
    </row>
    <row r="37">
      <c r="A37" s="10" t="inlineStr">
        <is>
          <t>2025-11</t>
        </is>
      </c>
      <c r="B37" s="20" t="n">
        <v>2025</v>
      </c>
      <c r="C37" s="21" t="inlineStr">
        <is>
          <t>November</t>
        </is>
      </c>
      <c r="D37" s="13">
        <f>G36</f>
        <v/>
      </c>
      <c r="E37" s="11">
        <f>SUMIFS(Data_Transaksi!H:H, Data_Transaksi!A:A, A37, Data_Transaksi!G:G, "Pemasukan")</f>
        <v/>
      </c>
      <c r="F37" s="12">
        <f>SUMIFS(Data_Transaksi!H:H, Data_Transaksi!A:A, A37, Data_Transaksi!G:G, "Pengeluaran")</f>
        <v/>
      </c>
      <c r="G37" s="22">
        <f>D37+E37-F37</f>
        <v/>
      </c>
      <c r="H37" s="13">
        <f>E37-F37</f>
        <v/>
      </c>
      <c r="I37" s="10">
        <f>IF(H37&gt;=0, "SURPLUS", "DEFISIT")</f>
        <v/>
      </c>
    </row>
    <row r="38">
      <c r="A38" s="14" t="inlineStr">
        <is>
          <t>2025-12</t>
        </is>
      </c>
      <c r="B38" s="23" t="n">
        <v>2025</v>
      </c>
      <c r="C38" s="24" t="inlineStr">
        <is>
          <t>Desember</t>
        </is>
      </c>
      <c r="D38" s="17">
        <f>G37</f>
        <v/>
      </c>
      <c r="E38" s="15">
        <f>SUMIFS(Data_Transaksi!H:H, Data_Transaksi!A:A, A38, Data_Transaksi!G:G, "Pemasukan")</f>
        <v/>
      </c>
      <c r="F38" s="16">
        <f>SUMIFS(Data_Transaksi!H:H, Data_Transaksi!A:A, A38, Data_Transaksi!G:G, "Pengeluaran")</f>
        <v/>
      </c>
      <c r="G38" s="25">
        <f>D38+E38-F38</f>
        <v/>
      </c>
      <c r="H38" s="17">
        <f>E38-F38</f>
        <v/>
      </c>
      <c r="I38" s="14">
        <f>IF(H38&gt;=0, "SURPLUS", "DEFISIT")</f>
        <v/>
      </c>
    </row>
    <row r="39">
      <c r="A39" s="10" t="inlineStr">
        <is>
          <t>2026-01</t>
        </is>
      </c>
      <c r="B39" s="20" t="n">
        <v>2026</v>
      </c>
      <c r="C39" s="21" t="inlineStr">
        <is>
          <t>Januari</t>
        </is>
      </c>
      <c r="D39" s="13">
        <f>G38</f>
        <v/>
      </c>
      <c r="E39" s="11">
        <f>SUMIFS(Data_Transaksi!H:H, Data_Transaksi!A:A, A39, Data_Transaksi!G:G, "Pemasukan")</f>
        <v/>
      </c>
      <c r="F39" s="12">
        <f>SUMIFS(Data_Transaksi!H:H, Data_Transaksi!A:A, A39, Data_Transaksi!G:G, "Pengeluaran")</f>
        <v/>
      </c>
      <c r="G39" s="22">
        <f>D39+E39-F39</f>
        <v/>
      </c>
      <c r="H39" s="13">
        <f>E39-F39</f>
        <v/>
      </c>
      <c r="I39" s="10">
        <f>IF(H39&gt;=0, "SURPLUS", "DEFISIT")</f>
        <v/>
      </c>
    </row>
    <row r="40">
      <c r="A40" s="14" t="inlineStr">
        <is>
          <t>2026-02</t>
        </is>
      </c>
      <c r="B40" s="23" t="n">
        <v>2026</v>
      </c>
      <c r="C40" s="24" t="inlineStr">
        <is>
          <t>Februari</t>
        </is>
      </c>
      <c r="D40" s="17">
        <f>G39</f>
        <v/>
      </c>
      <c r="E40" s="15">
        <f>SUMIFS(Data_Transaksi!H:H, Data_Transaksi!A:A, A40, Data_Transaksi!G:G, "Pemasukan")</f>
        <v/>
      </c>
      <c r="F40" s="16">
        <f>SUMIFS(Data_Transaksi!H:H, Data_Transaksi!A:A, A40, Data_Transaksi!G:G, "Pengeluaran")</f>
        <v/>
      </c>
      <c r="G40" s="25">
        <f>D40+E40-F40</f>
        <v/>
      </c>
      <c r="H40" s="17">
        <f>E40-F40</f>
        <v/>
      </c>
      <c r="I40" s="14">
        <f>IF(H40&gt;=0, "SURPLUS", "DEFISIT")</f>
        <v/>
      </c>
    </row>
    <row r="41">
      <c r="A41" s="10" t="inlineStr">
        <is>
          <t>2026-03</t>
        </is>
      </c>
      <c r="B41" s="20" t="n">
        <v>2026</v>
      </c>
      <c r="C41" s="21" t="inlineStr">
        <is>
          <t>Maret</t>
        </is>
      </c>
      <c r="D41" s="13">
        <f>G40</f>
        <v/>
      </c>
      <c r="E41" s="11">
        <f>SUMIFS(Data_Transaksi!H:H, Data_Transaksi!A:A, A41, Data_Transaksi!G:G, "Pemasukan")</f>
        <v/>
      </c>
      <c r="F41" s="12">
        <f>SUMIFS(Data_Transaksi!H:H, Data_Transaksi!A:A, A41, Data_Transaksi!G:G, "Pengeluaran")</f>
        <v/>
      </c>
      <c r="G41" s="22">
        <f>D41+E41-F41</f>
        <v/>
      </c>
      <c r="H41" s="13">
        <f>E41-F41</f>
        <v/>
      </c>
      <c r="I41" s="10">
        <f>IF(H41&gt;=0, "SURPLUS", "DEFISIT")</f>
        <v/>
      </c>
    </row>
    <row r="42">
      <c r="A42" s="14" t="inlineStr">
        <is>
          <t>2026-04</t>
        </is>
      </c>
      <c r="B42" s="23" t="n">
        <v>2026</v>
      </c>
      <c r="C42" s="24" t="inlineStr">
        <is>
          <t>April</t>
        </is>
      </c>
      <c r="D42" s="17">
        <f>G41</f>
        <v/>
      </c>
      <c r="E42" s="15">
        <f>SUMIFS(Data_Transaksi!H:H, Data_Transaksi!A:A, A42, Data_Transaksi!G:G, "Pemasukan")</f>
        <v/>
      </c>
      <c r="F42" s="16">
        <f>SUMIFS(Data_Transaksi!H:H, Data_Transaksi!A:A, A42, Data_Transaksi!G:G, "Pengeluaran")</f>
        <v/>
      </c>
      <c r="G42" s="25">
        <f>D42+E42-F42</f>
        <v/>
      </c>
      <c r="H42" s="17">
        <f>E42-F42</f>
        <v/>
      </c>
      <c r="I42" s="14">
        <f>IF(H42&gt;=0, "SURPLUS", "DEFISIT")</f>
        <v/>
      </c>
    </row>
    <row r="43">
      <c r="A43" s="10" t="inlineStr">
        <is>
          <t>2026-05</t>
        </is>
      </c>
      <c r="B43" s="20" t="n">
        <v>2026</v>
      </c>
      <c r="C43" s="21" t="inlineStr">
        <is>
          <t>Mei</t>
        </is>
      </c>
      <c r="D43" s="13">
        <f>G42</f>
        <v/>
      </c>
      <c r="E43" s="11">
        <f>SUMIFS(Data_Transaksi!H:H, Data_Transaksi!A:A, A43, Data_Transaksi!G:G, "Pemasukan")</f>
        <v/>
      </c>
      <c r="F43" s="12">
        <f>SUMIFS(Data_Transaksi!H:H, Data_Transaksi!A:A, A43, Data_Transaksi!G:G, "Pengeluaran")</f>
        <v/>
      </c>
      <c r="G43" s="22">
        <f>D43+E43-F43</f>
        <v/>
      </c>
      <c r="H43" s="13">
        <f>E43-F43</f>
        <v/>
      </c>
      <c r="I43" s="10">
        <f>IF(H43&gt;=0, "SURPLUS", "DEFISIT")</f>
        <v/>
      </c>
    </row>
    <row r="44">
      <c r="A44" s="14" t="inlineStr">
        <is>
          <t>2026-06</t>
        </is>
      </c>
      <c r="B44" s="23" t="n">
        <v>2026</v>
      </c>
      <c r="C44" s="24" t="inlineStr">
        <is>
          <t>Juni</t>
        </is>
      </c>
      <c r="D44" s="17">
        <f>G43</f>
        <v/>
      </c>
      <c r="E44" s="15">
        <f>SUMIFS(Data_Transaksi!H:H, Data_Transaksi!A:A, A44, Data_Transaksi!G:G, "Pemasukan")</f>
        <v/>
      </c>
      <c r="F44" s="16">
        <f>SUMIFS(Data_Transaksi!H:H, Data_Transaksi!A:A, A44, Data_Transaksi!G:G, "Pengeluaran")</f>
        <v/>
      </c>
      <c r="G44" s="25">
        <f>D44+E44-F44</f>
        <v/>
      </c>
      <c r="H44" s="17">
        <f>E44-F44</f>
        <v/>
      </c>
      <c r="I44" s="14">
        <f>IF(H44&gt;=0, "SURPLUS", "DEFISIT")</f>
        <v/>
      </c>
    </row>
    <row r="45">
      <c r="A45" s="10" t="inlineStr">
        <is>
          <t>2026-07</t>
        </is>
      </c>
      <c r="B45" s="20" t="n">
        <v>2026</v>
      </c>
      <c r="C45" s="21" t="inlineStr">
        <is>
          <t>Juli</t>
        </is>
      </c>
      <c r="D45" s="13">
        <f>G44</f>
        <v/>
      </c>
      <c r="E45" s="11">
        <f>SUMIFS(Data_Transaksi!H:H, Data_Transaksi!A:A, A45, Data_Transaksi!G:G, "Pemasukan")</f>
        <v/>
      </c>
      <c r="F45" s="12">
        <f>SUMIFS(Data_Transaksi!H:H, Data_Transaksi!A:A, A45, Data_Transaksi!G:G, "Pengeluaran")</f>
        <v/>
      </c>
      <c r="G45" s="22">
        <f>D45+E45-F45</f>
        <v/>
      </c>
      <c r="H45" s="13">
        <f>E45-F45</f>
        <v/>
      </c>
      <c r="I45" s="10">
        <f>IF(H45&gt;=0, "SURPLUS", "DEFISIT")</f>
        <v/>
      </c>
    </row>
    <row r="46">
      <c r="A46" s="14" t="inlineStr">
        <is>
          <t>2026-08</t>
        </is>
      </c>
      <c r="B46" s="23" t="n">
        <v>2026</v>
      </c>
      <c r="C46" s="24" t="inlineStr">
        <is>
          <t>Agustus</t>
        </is>
      </c>
      <c r="D46" s="17">
        <f>G45</f>
        <v/>
      </c>
      <c r="E46" s="15">
        <f>SUMIFS(Data_Transaksi!H:H, Data_Transaksi!A:A, A46, Data_Transaksi!G:G, "Pemasukan")</f>
        <v/>
      </c>
      <c r="F46" s="16">
        <f>SUMIFS(Data_Transaksi!H:H, Data_Transaksi!A:A, A46, Data_Transaksi!G:G, "Pengeluaran")</f>
        <v/>
      </c>
      <c r="G46" s="25">
        <f>D46+E46-F46</f>
        <v/>
      </c>
      <c r="H46" s="17">
        <f>E46-F46</f>
        <v/>
      </c>
      <c r="I46" s="14">
        <f>IF(H46&gt;=0, "SURPLUS", "DEFISIT")</f>
        <v/>
      </c>
    </row>
  </sheetData>
  <mergeCells count="2">
    <mergeCell ref="A1:I2"/>
    <mergeCell ref="A3:I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H25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46" customWidth="1" min="5" max="5"/>
    <col width="24" customWidth="1" min="6" max="6"/>
    <col width="14" customWidth="1" min="7" max="7"/>
    <col width="20" customWidth="1" min="8" max="8"/>
  </cols>
  <sheetData>
    <row r="1">
      <c r="A1" s="1" t="inlineStr">
        <is>
          <t>BUKU TRANSAKSI HARIAN / POS PENGELUARAN &amp; PEMASUKAN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Input transaksi baru di baris paling bawah. Data bulanan dan dashboard otomatis mendeteksi tanpa copy-paste!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9" t="inlineStr">
        <is>
          <t>Periode</t>
        </is>
      </c>
      <c r="B4" s="9" t="inlineStr">
        <is>
          <t>Tahun</t>
        </is>
      </c>
      <c r="C4" s="9" t="inlineStr">
        <is>
          <t>Bulan</t>
        </is>
      </c>
      <c r="D4" s="9" t="inlineStr">
        <is>
          <t>No</t>
        </is>
      </c>
      <c r="E4" s="9" t="inlineStr">
        <is>
          <t>Keterangan Transaksi</t>
        </is>
      </c>
      <c r="F4" s="9" t="inlineStr">
        <is>
          <t>Kategori</t>
        </is>
      </c>
      <c r="G4" s="9" t="inlineStr">
        <is>
          <t>Tipe</t>
        </is>
      </c>
      <c r="H4" s="9" t="inlineStr">
        <is>
          <t>Nominal (Rp)</t>
        </is>
      </c>
    </row>
    <row r="5">
      <c r="A5" s="10" t="inlineStr">
        <is>
          <t>2023-03</t>
        </is>
      </c>
      <c r="B5" s="20" t="n">
        <v>2023</v>
      </c>
      <c r="C5" s="21" t="inlineStr">
        <is>
          <t>Maret</t>
        </is>
      </c>
      <c r="D5" s="20" t="n">
        <v>1</v>
      </c>
      <c r="E5" s="21" t="inlineStr">
        <is>
          <t>Dana COS Anggota Bulan Maret 2023</t>
        </is>
      </c>
      <c r="F5" s="21" t="inlineStr">
        <is>
          <t>Pemasukan COS</t>
        </is>
      </c>
      <c r="G5" s="10" t="inlineStr">
        <is>
          <t>Pemasukan</t>
        </is>
      </c>
      <c r="H5" s="11" t="n">
        <v>18000000</v>
      </c>
    </row>
    <row r="6">
      <c r="A6" s="14" t="inlineStr">
        <is>
          <t>2023-03</t>
        </is>
      </c>
      <c r="B6" s="23" t="n">
        <v>2023</v>
      </c>
      <c r="C6" s="24" t="inlineStr">
        <is>
          <t>Maret</t>
        </is>
      </c>
      <c r="D6" s="23" t="n">
        <v>2</v>
      </c>
      <c r="E6" s="24" t="inlineStr">
        <is>
          <t>Setor COS dan akomodasi pengurus</t>
        </is>
      </c>
      <c r="F6" s="24" t="inlineStr">
        <is>
          <t>Setor COS &amp; Pengurus</t>
        </is>
      </c>
      <c r="G6" s="14" t="inlineStr">
        <is>
          <t>Pengeluaran</t>
        </is>
      </c>
      <c r="H6" s="16" t="n">
        <v>9000000</v>
      </c>
    </row>
    <row r="7">
      <c r="A7" s="10" t="inlineStr">
        <is>
          <t>2023-03</t>
        </is>
      </c>
      <c r="B7" s="20" t="n">
        <v>2023</v>
      </c>
      <c r="C7" s="21" t="inlineStr">
        <is>
          <t>Maret</t>
        </is>
      </c>
      <c r="D7" s="20" t="n">
        <v>3</v>
      </c>
      <c r="E7" s="21" t="inlineStr">
        <is>
          <t>Angsuran Mobil</t>
        </is>
      </c>
      <c r="F7" s="21" t="inlineStr">
        <is>
          <t>Angsuran Mobil</t>
        </is>
      </c>
      <c r="G7" s="10" t="inlineStr">
        <is>
          <t>Pengeluaran</t>
        </is>
      </c>
      <c r="H7" s="12" t="n">
        <v>3800000</v>
      </c>
    </row>
    <row r="8">
      <c r="A8" s="14" t="inlineStr">
        <is>
          <t>2023-03</t>
        </is>
      </c>
      <c r="B8" s="23" t="n">
        <v>2023</v>
      </c>
      <c r="C8" s="24" t="inlineStr">
        <is>
          <t>Maret</t>
        </is>
      </c>
      <c r="D8" s="23" t="n">
        <v>4</v>
      </c>
      <c r="E8" s="24" t="inlineStr">
        <is>
          <t>Suka cita dan Duka cita</t>
        </is>
      </c>
      <c r="F8" s="24" t="inlineStr">
        <is>
          <t>Dana Sosial</t>
        </is>
      </c>
      <c r="G8" s="14" t="inlineStr">
        <is>
          <t>Pengeluaran</t>
        </is>
      </c>
      <c r="H8" s="16" t="n">
        <v>300000</v>
      </c>
    </row>
    <row r="9">
      <c r="A9" s="10" t="inlineStr">
        <is>
          <t>2023-03</t>
        </is>
      </c>
      <c r="B9" s="20" t="n">
        <v>2023</v>
      </c>
      <c r="C9" s="21" t="inlineStr">
        <is>
          <t>Maret</t>
        </is>
      </c>
      <c r="D9" s="20" t="n">
        <v>5</v>
      </c>
      <c r="E9" s="21" t="inlineStr">
        <is>
          <t>Akomodasi aksi DPR RI (tolak perpu cipta kerja)</t>
        </is>
      </c>
      <c r="F9" s="21" t="inlineStr">
        <is>
          <t>Aksi &amp; Advokasi</t>
        </is>
      </c>
      <c r="G9" s="10" t="inlineStr">
        <is>
          <t>Pengeluaran</t>
        </is>
      </c>
      <c r="H9" s="12" t="n">
        <v>1500000</v>
      </c>
    </row>
    <row r="10">
      <c r="A10" s="14" t="inlineStr">
        <is>
          <t>2023-04</t>
        </is>
      </c>
      <c r="B10" s="23" t="n">
        <v>2023</v>
      </c>
      <c r="C10" s="24" t="inlineStr">
        <is>
          <t>April</t>
        </is>
      </c>
      <c r="D10" s="23" t="n">
        <v>6</v>
      </c>
      <c r="E10" s="24" t="inlineStr">
        <is>
          <t>Dana COS Anggota Bulan April 2023</t>
        </is>
      </c>
      <c r="F10" s="24" t="inlineStr">
        <is>
          <t>Pemasukan COS</t>
        </is>
      </c>
      <c r="G10" s="14" t="inlineStr">
        <is>
          <t>Pemasukan</t>
        </is>
      </c>
      <c r="H10" s="15" t="n">
        <v>18000000</v>
      </c>
    </row>
    <row r="11">
      <c r="A11" s="10" t="inlineStr">
        <is>
          <t>2023-04</t>
        </is>
      </c>
      <c r="B11" s="20" t="n">
        <v>2023</v>
      </c>
      <c r="C11" s="21" t="inlineStr">
        <is>
          <t>April</t>
        </is>
      </c>
      <c r="D11" s="20" t="n">
        <v>7</v>
      </c>
      <c r="E11" s="21" t="inlineStr">
        <is>
          <t>Setor COS dan akomodasi pengurus</t>
        </is>
      </c>
      <c r="F11" s="21" t="inlineStr">
        <is>
          <t>Setor COS &amp; Pengurus</t>
        </is>
      </c>
      <c r="G11" s="10" t="inlineStr">
        <is>
          <t>Pengeluaran</t>
        </is>
      </c>
      <c r="H11" s="12" t="n">
        <v>9000000</v>
      </c>
    </row>
    <row r="12">
      <c r="A12" s="14" t="inlineStr">
        <is>
          <t>2023-04</t>
        </is>
      </c>
      <c r="B12" s="23" t="n">
        <v>2023</v>
      </c>
      <c r="C12" s="24" t="inlineStr">
        <is>
          <t>April</t>
        </is>
      </c>
      <c r="D12" s="23" t="n">
        <v>8</v>
      </c>
      <c r="E12" s="24" t="inlineStr">
        <is>
          <t>Angsuran Mobil</t>
        </is>
      </c>
      <c r="F12" s="24" t="inlineStr">
        <is>
          <t>Angsuran Mobil</t>
        </is>
      </c>
      <c r="G12" s="14" t="inlineStr">
        <is>
          <t>Pengeluaran</t>
        </is>
      </c>
      <c r="H12" s="16" t="n">
        <v>3800000</v>
      </c>
    </row>
    <row r="13">
      <c r="A13" s="10" t="inlineStr">
        <is>
          <t>2023-04</t>
        </is>
      </c>
      <c r="B13" s="20" t="n">
        <v>2023</v>
      </c>
      <c r="C13" s="21" t="inlineStr">
        <is>
          <t>April</t>
        </is>
      </c>
      <c r="D13" s="20" t="n">
        <v>9</v>
      </c>
      <c r="E13" s="21" t="inlineStr">
        <is>
          <t>Suka cita dan Duka cita</t>
        </is>
      </c>
      <c r="F13" s="21" t="inlineStr">
        <is>
          <t>Dana Sosial</t>
        </is>
      </c>
      <c r="G13" s="10" t="inlineStr">
        <is>
          <t>Pengeluaran</t>
        </is>
      </c>
      <c r="H13" s="12" t="n">
        <v>300000</v>
      </c>
    </row>
    <row r="14">
      <c r="A14" s="14" t="inlineStr">
        <is>
          <t>2023-04</t>
        </is>
      </c>
      <c r="B14" s="23" t="n">
        <v>2023</v>
      </c>
      <c r="C14" s="24" t="inlineStr">
        <is>
          <t>April</t>
        </is>
      </c>
      <c r="D14" s="23" t="n">
        <v>10</v>
      </c>
      <c r="E14" s="24" t="inlineStr">
        <is>
          <t>Service rutin mobil</t>
        </is>
      </c>
      <c r="F14" s="24" t="inlineStr">
        <is>
          <t>Kendaraan</t>
        </is>
      </c>
      <c r="G14" s="14" t="inlineStr">
        <is>
          <t>Pengeluaran</t>
        </is>
      </c>
      <c r="H14" s="16" t="n">
        <v>1500000</v>
      </c>
    </row>
    <row r="15">
      <c r="A15" s="10" t="inlineStr">
        <is>
          <t>2023-05</t>
        </is>
      </c>
      <c r="B15" s="20" t="n">
        <v>2023</v>
      </c>
      <c r="C15" s="21" t="inlineStr">
        <is>
          <t>Mei</t>
        </is>
      </c>
      <c r="D15" s="20" t="n">
        <v>11</v>
      </c>
      <c r="E15" s="21" t="inlineStr">
        <is>
          <t>Dana COS Anggota Bulan Mei 2023</t>
        </is>
      </c>
      <c r="F15" s="21" t="inlineStr">
        <is>
          <t>Pemasukan COS</t>
        </is>
      </c>
      <c r="G15" s="10" t="inlineStr">
        <is>
          <t>Pemasukan</t>
        </is>
      </c>
      <c r="H15" s="11" t="n">
        <v>18000000</v>
      </c>
    </row>
    <row r="16">
      <c r="A16" s="14" t="inlineStr">
        <is>
          <t>2023-05</t>
        </is>
      </c>
      <c r="B16" s="23" t="n">
        <v>2023</v>
      </c>
      <c r="C16" s="24" t="inlineStr">
        <is>
          <t>Mei</t>
        </is>
      </c>
      <c r="D16" s="23" t="n">
        <v>12</v>
      </c>
      <c r="E16" s="24" t="inlineStr">
        <is>
          <t>Setor COS dan akomodasi pengurus</t>
        </is>
      </c>
      <c r="F16" s="24" t="inlineStr">
        <is>
          <t>Setor COS &amp; Pengurus</t>
        </is>
      </c>
      <c r="G16" s="14" t="inlineStr">
        <is>
          <t>Pengeluaran</t>
        </is>
      </c>
      <c r="H16" s="16" t="n">
        <v>9000000</v>
      </c>
    </row>
    <row r="17">
      <c r="A17" s="10" t="inlineStr">
        <is>
          <t>2023-05</t>
        </is>
      </c>
      <c r="B17" s="20" t="n">
        <v>2023</v>
      </c>
      <c r="C17" s="21" t="inlineStr">
        <is>
          <t>Mei</t>
        </is>
      </c>
      <c r="D17" s="20" t="n">
        <v>13</v>
      </c>
      <c r="E17" s="21" t="inlineStr">
        <is>
          <t>Angsuran Mobil</t>
        </is>
      </c>
      <c r="F17" s="21" t="inlineStr">
        <is>
          <t>Angsuran Mobil</t>
        </is>
      </c>
      <c r="G17" s="10" t="inlineStr">
        <is>
          <t>Pengeluaran</t>
        </is>
      </c>
      <c r="H17" s="12" t="n">
        <v>3800000</v>
      </c>
    </row>
    <row r="18">
      <c r="A18" s="14" t="inlineStr">
        <is>
          <t>2023-05</t>
        </is>
      </c>
      <c r="B18" s="23" t="n">
        <v>2023</v>
      </c>
      <c r="C18" s="24" t="inlineStr">
        <is>
          <t>Mei</t>
        </is>
      </c>
      <c r="D18" s="23" t="n">
        <v>14</v>
      </c>
      <c r="E18" s="24" t="inlineStr">
        <is>
          <t>Suka cita dan Duka cita</t>
        </is>
      </c>
      <c r="F18" s="24" t="inlineStr">
        <is>
          <t>Dana Sosial</t>
        </is>
      </c>
      <c r="G18" s="14" t="inlineStr">
        <is>
          <t>Pengeluaran</t>
        </is>
      </c>
      <c r="H18" s="16" t="n">
        <v>300000</v>
      </c>
    </row>
    <row r="19">
      <c r="A19" s="10" t="inlineStr">
        <is>
          <t>2023-05</t>
        </is>
      </c>
      <c r="B19" s="20" t="n">
        <v>2023</v>
      </c>
      <c r="C19" s="21" t="inlineStr">
        <is>
          <t>Mei</t>
        </is>
      </c>
      <c r="D19" s="20" t="n">
        <v>15</v>
      </c>
      <c r="E19" s="21" t="inlineStr">
        <is>
          <t>Akomodasi May Day</t>
        </is>
      </c>
      <c r="F19" s="21" t="inlineStr">
        <is>
          <t>May Day</t>
        </is>
      </c>
      <c r="G19" s="10" t="inlineStr">
        <is>
          <t>Pengeluaran</t>
        </is>
      </c>
      <c r="H19" s="12" t="n">
        <v>2000000</v>
      </c>
    </row>
    <row r="20">
      <c r="A20" s="14" t="inlineStr">
        <is>
          <t>2023-05</t>
        </is>
      </c>
      <c r="B20" s="23" t="n">
        <v>2023</v>
      </c>
      <c r="C20" s="24" t="inlineStr">
        <is>
          <t>Mei</t>
        </is>
      </c>
      <c r="D20" s="23" t="n">
        <v>16</v>
      </c>
      <c r="E20" s="24" t="inlineStr">
        <is>
          <t>Pembelian kaos May Day dan spanduk</t>
        </is>
      </c>
      <c r="F20" s="24" t="inlineStr">
        <is>
          <t>Perlengkapan &amp; Atribut</t>
        </is>
      </c>
      <c r="G20" s="14" t="inlineStr">
        <is>
          <t>Pengeluaran</t>
        </is>
      </c>
      <c r="H20" s="16" t="n">
        <v>600000</v>
      </c>
    </row>
    <row r="21">
      <c r="A21" s="10" t="inlineStr">
        <is>
          <t>2023-06</t>
        </is>
      </c>
      <c r="B21" s="20" t="n">
        <v>2023</v>
      </c>
      <c r="C21" s="21" t="inlineStr">
        <is>
          <t>Juni</t>
        </is>
      </c>
      <c r="D21" s="20" t="n">
        <v>17</v>
      </c>
      <c r="E21" s="21" t="inlineStr">
        <is>
          <t>Dana COS Anggota Bulan Juni 2023</t>
        </is>
      </c>
      <c r="F21" s="21" t="inlineStr">
        <is>
          <t>Pemasukan COS</t>
        </is>
      </c>
      <c r="G21" s="10" t="inlineStr">
        <is>
          <t>Pemasukan</t>
        </is>
      </c>
      <c r="H21" s="11" t="n">
        <v>18000000</v>
      </c>
    </row>
    <row r="22">
      <c r="A22" s="14" t="inlineStr">
        <is>
          <t>2023-06</t>
        </is>
      </c>
      <c r="B22" s="23" t="n">
        <v>2023</v>
      </c>
      <c r="C22" s="24" t="inlineStr">
        <is>
          <t>Juni</t>
        </is>
      </c>
      <c r="D22" s="23" t="n">
        <v>18</v>
      </c>
      <c r="E22" s="24" t="inlineStr">
        <is>
          <t>Setor COS dan akomodasi pengurus</t>
        </is>
      </c>
      <c r="F22" s="24" t="inlineStr">
        <is>
          <t>Setor COS &amp; Pengurus</t>
        </is>
      </c>
      <c r="G22" s="14" t="inlineStr">
        <is>
          <t>Pengeluaran</t>
        </is>
      </c>
      <c r="H22" s="16" t="n">
        <v>9000000</v>
      </c>
    </row>
    <row r="23">
      <c r="A23" s="10" t="inlineStr">
        <is>
          <t>2023-06</t>
        </is>
      </c>
      <c r="B23" s="20" t="n">
        <v>2023</v>
      </c>
      <c r="C23" s="21" t="inlineStr">
        <is>
          <t>Juni</t>
        </is>
      </c>
      <c r="D23" s="20" t="n">
        <v>19</v>
      </c>
      <c r="E23" s="21" t="inlineStr">
        <is>
          <t>Angsuran Mobil</t>
        </is>
      </c>
      <c r="F23" s="21" t="inlineStr">
        <is>
          <t>Angsuran Mobil</t>
        </is>
      </c>
      <c r="G23" s="10" t="inlineStr">
        <is>
          <t>Pengeluaran</t>
        </is>
      </c>
      <c r="H23" s="12" t="n">
        <v>3800000</v>
      </c>
    </row>
    <row r="24">
      <c r="A24" s="14" t="inlineStr">
        <is>
          <t>2023-06</t>
        </is>
      </c>
      <c r="B24" s="23" t="n">
        <v>2023</v>
      </c>
      <c r="C24" s="24" t="inlineStr">
        <is>
          <t>Juni</t>
        </is>
      </c>
      <c r="D24" s="23" t="n">
        <v>20</v>
      </c>
      <c r="E24" s="24" t="inlineStr">
        <is>
          <t>Suka cita dan Duka cita</t>
        </is>
      </c>
      <c r="F24" s="24" t="inlineStr">
        <is>
          <t>Dana Sosial</t>
        </is>
      </c>
      <c r="G24" s="14" t="inlineStr">
        <is>
          <t>Pengeluaran</t>
        </is>
      </c>
      <c r="H24" s="16" t="n">
        <v>300000</v>
      </c>
    </row>
    <row r="25">
      <c r="A25" s="10" t="inlineStr">
        <is>
          <t>2023-06</t>
        </is>
      </c>
      <c r="B25" s="20" t="n">
        <v>2023</v>
      </c>
      <c r="C25" s="21" t="inlineStr">
        <is>
          <t>Juni</t>
        </is>
      </c>
      <c r="D25" s="20" t="n">
        <v>21</v>
      </c>
      <c r="E25" s="21" t="inlineStr">
        <is>
          <t>Pajak mobil</t>
        </is>
      </c>
      <c r="F25" s="21" t="inlineStr">
        <is>
          <t>Kendaraan</t>
        </is>
      </c>
      <c r="G25" s="10" t="inlineStr">
        <is>
          <t>Pengeluaran</t>
        </is>
      </c>
      <c r="H25" s="12" t="n">
        <v>3900000</v>
      </c>
    </row>
    <row r="26">
      <c r="A26" s="14" t="inlineStr">
        <is>
          <t>2023-07</t>
        </is>
      </c>
      <c r="B26" s="23" t="n">
        <v>2023</v>
      </c>
      <c r="C26" s="24" t="inlineStr">
        <is>
          <t>Juli</t>
        </is>
      </c>
      <c r="D26" s="23" t="n">
        <v>22</v>
      </c>
      <c r="E26" s="24" t="inlineStr">
        <is>
          <t>Dana COS Anggota Bulan Juli 2023</t>
        </is>
      </c>
      <c r="F26" s="24" t="inlineStr">
        <is>
          <t>Pemasukan COS</t>
        </is>
      </c>
      <c r="G26" s="14" t="inlineStr">
        <is>
          <t>Pemasukan</t>
        </is>
      </c>
      <c r="H26" s="15" t="n">
        <v>18000000</v>
      </c>
    </row>
    <row r="27">
      <c r="A27" s="10" t="inlineStr">
        <is>
          <t>2023-07</t>
        </is>
      </c>
      <c r="B27" s="20" t="n">
        <v>2023</v>
      </c>
      <c r="C27" s="21" t="inlineStr">
        <is>
          <t>Juli</t>
        </is>
      </c>
      <c r="D27" s="20" t="n">
        <v>23</v>
      </c>
      <c r="E27" s="21" t="inlineStr">
        <is>
          <t>Setor COS dan akomodasi pengurus</t>
        </is>
      </c>
      <c r="F27" s="21" t="inlineStr">
        <is>
          <t>Setor COS &amp; Pengurus</t>
        </is>
      </c>
      <c r="G27" s="10" t="inlineStr">
        <is>
          <t>Pengeluaran</t>
        </is>
      </c>
      <c r="H27" s="12" t="n">
        <v>9000000</v>
      </c>
    </row>
    <row r="28">
      <c r="A28" s="14" t="inlineStr">
        <is>
          <t>2023-07</t>
        </is>
      </c>
      <c r="B28" s="23" t="n">
        <v>2023</v>
      </c>
      <c r="C28" s="24" t="inlineStr">
        <is>
          <t>Juli</t>
        </is>
      </c>
      <c r="D28" s="23" t="n">
        <v>24</v>
      </c>
      <c r="E28" s="24" t="inlineStr">
        <is>
          <t>Angsuran Mobil</t>
        </is>
      </c>
      <c r="F28" s="24" t="inlineStr">
        <is>
          <t>Angsuran Mobil</t>
        </is>
      </c>
      <c r="G28" s="14" t="inlineStr">
        <is>
          <t>Pengeluaran</t>
        </is>
      </c>
      <c r="H28" s="16" t="n">
        <v>3800000</v>
      </c>
    </row>
    <row r="29">
      <c r="A29" s="10" t="inlineStr">
        <is>
          <t>2023-07</t>
        </is>
      </c>
      <c r="B29" s="20" t="n">
        <v>2023</v>
      </c>
      <c r="C29" s="21" t="inlineStr">
        <is>
          <t>Juli</t>
        </is>
      </c>
      <c r="D29" s="20" t="n">
        <v>25</v>
      </c>
      <c r="E29" s="21" t="inlineStr">
        <is>
          <t>Suka cita dan Duka cita</t>
        </is>
      </c>
      <c r="F29" s="21" t="inlineStr">
        <is>
          <t>Dana Sosial</t>
        </is>
      </c>
      <c r="G29" s="10" t="inlineStr">
        <is>
          <t>Pengeluaran</t>
        </is>
      </c>
      <c r="H29" s="12" t="n">
        <v>300000</v>
      </c>
    </row>
    <row r="30">
      <c r="A30" s="14" t="inlineStr">
        <is>
          <t>2023-07</t>
        </is>
      </c>
      <c r="B30" s="23" t="n">
        <v>2023</v>
      </c>
      <c r="C30" s="24" t="inlineStr">
        <is>
          <t>Juli</t>
        </is>
      </c>
      <c r="D30" s="23" t="n">
        <v>26</v>
      </c>
      <c r="E30" s="24" t="inlineStr">
        <is>
          <t>Akomodasi aksi PTUN Bandung</t>
        </is>
      </c>
      <c r="F30" s="24" t="inlineStr">
        <is>
          <t>Aksi &amp; Advokasi</t>
        </is>
      </c>
      <c r="G30" s="14" t="inlineStr">
        <is>
          <t>Pengeluaran</t>
        </is>
      </c>
      <c r="H30" s="16" t="n">
        <v>2000000</v>
      </c>
    </row>
    <row r="31">
      <c r="A31" s="10" t="inlineStr">
        <is>
          <t>2023-08</t>
        </is>
      </c>
      <c r="B31" s="20" t="n">
        <v>2023</v>
      </c>
      <c r="C31" s="21" t="inlineStr">
        <is>
          <t>Agustus</t>
        </is>
      </c>
      <c r="D31" s="20" t="n">
        <v>27</v>
      </c>
      <c r="E31" s="21" t="inlineStr">
        <is>
          <t>Dana COS Anggota Bulan Agustus 2023</t>
        </is>
      </c>
      <c r="F31" s="21" t="inlineStr">
        <is>
          <t>Pemasukan COS</t>
        </is>
      </c>
      <c r="G31" s="10" t="inlineStr">
        <is>
          <t>Pemasukan</t>
        </is>
      </c>
      <c r="H31" s="11" t="n">
        <v>18000000</v>
      </c>
    </row>
    <row r="32">
      <c r="A32" s="14" t="inlineStr">
        <is>
          <t>2023-08</t>
        </is>
      </c>
      <c r="B32" s="23" t="n">
        <v>2023</v>
      </c>
      <c r="C32" s="24" t="inlineStr">
        <is>
          <t>Agustus</t>
        </is>
      </c>
      <c r="D32" s="23" t="n">
        <v>28</v>
      </c>
      <c r="E32" s="24" t="inlineStr">
        <is>
          <t>Setor COS dan akomodasi pengurus</t>
        </is>
      </c>
      <c r="F32" s="24" t="inlineStr">
        <is>
          <t>Setor COS &amp; Pengurus</t>
        </is>
      </c>
      <c r="G32" s="14" t="inlineStr">
        <is>
          <t>Pengeluaran</t>
        </is>
      </c>
      <c r="H32" s="16" t="n">
        <v>9000000</v>
      </c>
    </row>
    <row r="33">
      <c r="A33" s="10" t="inlineStr">
        <is>
          <t>2023-08</t>
        </is>
      </c>
      <c r="B33" s="20" t="n">
        <v>2023</v>
      </c>
      <c r="C33" s="21" t="inlineStr">
        <is>
          <t>Agustus</t>
        </is>
      </c>
      <c r="D33" s="20" t="n">
        <v>29</v>
      </c>
      <c r="E33" s="21" t="inlineStr">
        <is>
          <t>Angsuran Mobil</t>
        </is>
      </c>
      <c r="F33" s="21" t="inlineStr">
        <is>
          <t>Angsuran Mobil</t>
        </is>
      </c>
      <c r="G33" s="10" t="inlineStr">
        <is>
          <t>Pengeluaran</t>
        </is>
      </c>
      <c r="H33" s="12" t="n">
        <v>3800000</v>
      </c>
    </row>
    <row r="34">
      <c r="A34" s="14" t="inlineStr">
        <is>
          <t>2023-08</t>
        </is>
      </c>
      <c r="B34" s="23" t="n">
        <v>2023</v>
      </c>
      <c r="C34" s="24" t="inlineStr">
        <is>
          <t>Agustus</t>
        </is>
      </c>
      <c r="D34" s="23" t="n">
        <v>30</v>
      </c>
      <c r="E34" s="24" t="inlineStr">
        <is>
          <t>Suka cita dan Duka cita</t>
        </is>
      </c>
      <c r="F34" s="24" t="inlineStr">
        <is>
          <t>Dana Sosial</t>
        </is>
      </c>
      <c r="G34" s="14" t="inlineStr">
        <is>
          <t>Pengeluaran</t>
        </is>
      </c>
      <c r="H34" s="16" t="n">
        <v>300000</v>
      </c>
    </row>
    <row r="35">
      <c r="A35" s="10" t="inlineStr">
        <is>
          <t>2023-08</t>
        </is>
      </c>
      <c r="B35" s="20" t="n">
        <v>2023</v>
      </c>
      <c r="C35" s="21" t="inlineStr">
        <is>
          <t>Agustus</t>
        </is>
      </c>
      <c r="D35" s="20" t="n">
        <v>31</v>
      </c>
      <c r="E35" s="21" t="inlineStr">
        <is>
          <t>Biaya daftar futsal DPC CUP</t>
        </is>
      </c>
      <c r="F35" s="21" t="inlineStr">
        <is>
          <t>Olahraga &amp; Kegiatan</t>
        </is>
      </c>
      <c r="G35" s="10" t="inlineStr">
        <is>
          <t>Pengeluaran</t>
        </is>
      </c>
      <c r="H35" s="12" t="n">
        <v>300000</v>
      </c>
    </row>
    <row r="36">
      <c r="A36" s="14" t="inlineStr">
        <is>
          <t>2023-08</t>
        </is>
      </c>
      <c r="B36" s="23" t="n">
        <v>2023</v>
      </c>
      <c r="C36" s="24" t="inlineStr">
        <is>
          <t>Agustus</t>
        </is>
      </c>
      <c r="D36" s="23" t="n">
        <v>32</v>
      </c>
      <c r="E36" s="24" t="inlineStr">
        <is>
          <t>Akomodasi futsal DPC CUP</t>
        </is>
      </c>
      <c r="F36" s="24" t="inlineStr">
        <is>
          <t>Olahraga &amp; Kegiatan</t>
        </is>
      </c>
      <c r="G36" s="14" t="inlineStr">
        <is>
          <t>Pengeluaran</t>
        </is>
      </c>
      <c r="H36" s="16" t="n">
        <v>2000000</v>
      </c>
    </row>
    <row r="37">
      <c r="A37" s="10" t="inlineStr">
        <is>
          <t>2023-08</t>
        </is>
      </c>
      <c r="B37" s="20" t="n">
        <v>2023</v>
      </c>
      <c r="C37" s="21" t="inlineStr">
        <is>
          <t>Agustus</t>
        </is>
      </c>
      <c r="D37" s="20" t="n">
        <v>33</v>
      </c>
      <c r="E37" s="21" t="inlineStr">
        <is>
          <t>Akomodasi pengawalan sidang JR di MK</t>
        </is>
      </c>
      <c r="F37" s="21" t="inlineStr">
        <is>
          <t>Aksi &amp; Advokasi</t>
        </is>
      </c>
      <c r="G37" s="10" t="inlineStr">
        <is>
          <t>Pengeluaran</t>
        </is>
      </c>
      <c r="H37" s="12" t="n">
        <v>1000000</v>
      </c>
    </row>
    <row r="38">
      <c r="A38" s="14" t="inlineStr">
        <is>
          <t>2023-09</t>
        </is>
      </c>
      <c r="B38" s="23" t="n">
        <v>2023</v>
      </c>
      <c r="C38" s="24" t="inlineStr">
        <is>
          <t>September</t>
        </is>
      </c>
      <c r="D38" s="23" t="n">
        <v>34</v>
      </c>
      <c r="E38" s="24" t="inlineStr">
        <is>
          <t>Dana COS Anggota Bulan September 2023</t>
        </is>
      </c>
      <c r="F38" s="24" t="inlineStr">
        <is>
          <t>Pemasukan COS</t>
        </is>
      </c>
      <c r="G38" s="14" t="inlineStr">
        <is>
          <t>Pemasukan</t>
        </is>
      </c>
      <c r="H38" s="15" t="n">
        <v>18000000</v>
      </c>
    </row>
    <row r="39">
      <c r="A39" s="10" t="inlineStr">
        <is>
          <t>2023-09</t>
        </is>
      </c>
      <c r="B39" s="20" t="n">
        <v>2023</v>
      </c>
      <c r="C39" s="21" t="inlineStr">
        <is>
          <t>September</t>
        </is>
      </c>
      <c r="D39" s="20" t="n">
        <v>35</v>
      </c>
      <c r="E39" s="21" t="inlineStr">
        <is>
          <t>Setor COS dan akomodasi pengurus</t>
        </is>
      </c>
      <c r="F39" s="21" t="inlineStr">
        <is>
          <t>Setor COS &amp; Pengurus</t>
        </is>
      </c>
      <c r="G39" s="10" t="inlineStr">
        <is>
          <t>Pengeluaran</t>
        </is>
      </c>
      <c r="H39" s="12" t="n">
        <v>9000000</v>
      </c>
    </row>
    <row r="40">
      <c r="A40" s="14" t="inlineStr">
        <is>
          <t>2023-09</t>
        </is>
      </c>
      <c r="B40" s="23" t="n">
        <v>2023</v>
      </c>
      <c r="C40" s="24" t="inlineStr">
        <is>
          <t>September</t>
        </is>
      </c>
      <c r="D40" s="23" t="n">
        <v>36</v>
      </c>
      <c r="E40" s="24" t="inlineStr">
        <is>
          <t>Angsuran Mobil</t>
        </is>
      </c>
      <c r="F40" s="24" t="inlineStr">
        <is>
          <t>Angsuran Mobil</t>
        </is>
      </c>
      <c r="G40" s="14" t="inlineStr">
        <is>
          <t>Pengeluaran</t>
        </is>
      </c>
      <c r="H40" s="16" t="n">
        <v>3800000</v>
      </c>
    </row>
    <row r="41">
      <c r="A41" s="10" t="inlineStr">
        <is>
          <t>2023-09</t>
        </is>
      </c>
      <c r="B41" s="20" t="n">
        <v>2023</v>
      </c>
      <c r="C41" s="21" t="inlineStr">
        <is>
          <t>September</t>
        </is>
      </c>
      <c r="D41" s="20" t="n">
        <v>37</v>
      </c>
      <c r="E41" s="21" t="inlineStr">
        <is>
          <t>Suka cita dan Duka cita</t>
        </is>
      </c>
      <c r="F41" s="21" t="inlineStr">
        <is>
          <t>Dana Sosial</t>
        </is>
      </c>
      <c r="G41" s="10" t="inlineStr">
        <is>
          <t>Pengeluaran</t>
        </is>
      </c>
      <c r="H41" s="12" t="n">
        <v>300000</v>
      </c>
    </row>
    <row r="42">
      <c r="A42" s="14" t="inlineStr">
        <is>
          <t>2023-09</t>
        </is>
      </c>
      <c r="B42" s="23" t="n">
        <v>2023</v>
      </c>
      <c r="C42" s="24" t="inlineStr">
        <is>
          <t>September</t>
        </is>
      </c>
      <c r="D42" s="23" t="n">
        <v>38</v>
      </c>
      <c r="E42" s="24" t="inlineStr">
        <is>
          <t>Akomodasi Aksi KEMNAKER (cabut UU Omnibuslaw)</t>
        </is>
      </c>
      <c r="F42" s="24" t="inlineStr">
        <is>
          <t>Aksi &amp; Advokasi</t>
        </is>
      </c>
      <c r="G42" s="14" t="inlineStr">
        <is>
          <t>Pengeluaran</t>
        </is>
      </c>
      <c r="H42" s="16" t="n">
        <v>1500000</v>
      </c>
    </row>
    <row r="43">
      <c r="A43" s="10" t="inlineStr">
        <is>
          <t>2023-10</t>
        </is>
      </c>
      <c r="B43" s="20" t="n">
        <v>2023</v>
      </c>
      <c r="C43" s="21" t="inlineStr">
        <is>
          <t>Oktober</t>
        </is>
      </c>
      <c r="D43" s="20" t="n">
        <v>39</v>
      </c>
      <c r="E43" s="21" t="inlineStr">
        <is>
          <t>Dana COS Anggota Bulan Oktober 2023</t>
        </is>
      </c>
      <c r="F43" s="21" t="inlineStr">
        <is>
          <t>Pemasukan COS</t>
        </is>
      </c>
      <c r="G43" s="10" t="inlineStr">
        <is>
          <t>Pemasukan</t>
        </is>
      </c>
      <c r="H43" s="11" t="n">
        <v>18000000</v>
      </c>
    </row>
    <row r="44">
      <c r="A44" s="14" t="inlineStr">
        <is>
          <t>2023-10</t>
        </is>
      </c>
      <c r="B44" s="23" t="n">
        <v>2023</v>
      </c>
      <c r="C44" s="24" t="inlineStr">
        <is>
          <t>Oktober</t>
        </is>
      </c>
      <c r="D44" s="23" t="n">
        <v>40</v>
      </c>
      <c r="E44" s="24" t="inlineStr">
        <is>
          <t>Setor COS dan akomodasi pengurus</t>
        </is>
      </c>
      <c r="F44" s="24" t="inlineStr">
        <is>
          <t>Setor COS &amp; Pengurus</t>
        </is>
      </c>
      <c r="G44" s="14" t="inlineStr">
        <is>
          <t>Pengeluaran</t>
        </is>
      </c>
      <c r="H44" s="16" t="n">
        <v>9000000</v>
      </c>
    </row>
    <row r="45">
      <c r="A45" s="10" t="inlineStr">
        <is>
          <t>2023-10</t>
        </is>
      </c>
      <c r="B45" s="20" t="n">
        <v>2023</v>
      </c>
      <c r="C45" s="21" t="inlineStr">
        <is>
          <t>Oktober</t>
        </is>
      </c>
      <c r="D45" s="20" t="n">
        <v>41</v>
      </c>
      <c r="E45" s="21" t="inlineStr">
        <is>
          <t>Angsuran Mobil</t>
        </is>
      </c>
      <c r="F45" s="21" t="inlineStr">
        <is>
          <t>Angsuran Mobil</t>
        </is>
      </c>
      <c r="G45" s="10" t="inlineStr">
        <is>
          <t>Pengeluaran</t>
        </is>
      </c>
      <c r="H45" s="12" t="n">
        <v>3800000</v>
      </c>
    </row>
    <row r="46">
      <c r="A46" s="14" t="inlineStr">
        <is>
          <t>2023-10</t>
        </is>
      </c>
      <c r="B46" s="23" t="n">
        <v>2023</v>
      </c>
      <c r="C46" s="24" t="inlineStr">
        <is>
          <t>Oktober</t>
        </is>
      </c>
      <c r="D46" s="23" t="n">
        <v>42</v>
      </c>
      <c r="E46" s="24" t="inlineStr">
        <is>
          <t>Suka cita dan Duka cita</t>
        </is>
      </c>
      <c r="F46" s="24" t="inlineStr">
        <is>
          <t>Dana Sosial</t>
        </is>
      </c>
      <c r="G46" s="14" t="inlineStr">
        <is>
          <t>Pengeluaran</t>
        </is>
      </c>
      <c r="H46" s="16" t="n">
        <v>300000</v>
      </c>
    </row>
    <row r="47">
      <c r="A47" s="10" t="inlineStr">
        <is>
          <t>2023-10</t>
        </is>
      </c>
      <c r="B47" s="20" t="n">
        <v>2023</v>
      </c>
      <c r="C47" s="21" t="inlineStr">
        <is>
          <t>Oktober</t>
        </is>
      </c>
      <c r="D47" s="20" t="n">
        <v>43</v>
      </c>
      <c r="E47" s="21" t="inlineStr">
        <is>
          <t>Service Mobil PUK</t>
        </is>
      </c>
      <c r="F47" s="21" t="inlineStr">
        <is>
          <t>Kendaraan</t>
        </is>
      </c>
      <c r="G47" s="10" t="inlineStr">
        <is>
          <t>Pengeluaran</t>
        </is>
      </c>
      <c r="H47" s="12" t="n">
        <v>1500000</v>
      </c>
    </row>
    <row r="48">
      <c r="A48" s="14" t="inlineStr">
        <is>
          <t>2023-10</t>
        </is>
      </c>
      <c r="B48" s="23" t="n">
        <v>2023</v>
      </c>
      <c r="C48" s="24" t="inlineStr">
        <is>
          <t>Oktober</t>
        </is>
      </c>
      <c r="D48" s="23" t="n">
        <v>44</v>
      </c>
      <c r="E48" s="24" t="inlineStr">
        <is>
          <t>Service dan cuci AC PUK</t>
        </is>
      </c>
      <c r="F48" s="24" t="inlineStr">
        <is>
          <t>Aset &amp; Operasional</t>
        </is>
      </c>
      <c r="G48" s="14" t="inlineStr">
        <is>
          <t>Pengeluaran</t>
        </is>
      </c>
      <c r="H48" s="16" t="n">
        <v>500000</v>
      </c>
    </row>
    <row r="49">
      <c r="A49" s="10" t="inlineStr">
        <is>
          <t>2023-11</t>
        </is>
      </c>
      <c r="B49" s="20" t="n">
        <v>2023</v>
      </c>
      <c r="C49" s="21" t="inlineStr">
        <is>
          <t>November</t>
        </is>
      </c>
      <c r="D49" s="20" t="n">
        <v>45</v>
      </c>
      <c r="E49" s="21" t="inlineStr">
        <is>
          <t>Dana COS Anggota Bulan November 2023</t>
        </is>
      </c>
      <c r="F49" s="21" t="inlineStr">
        <is>
          <t>Pemasukan COS</t>
        </is>
      </c>
      <c r="G49" s="10" t="inlineStr">
        <is>
          <t>Pemasukan</t>
        </is>
      </c>
      <c r="H49" s="11" t="n">
        <v>18000000</v>
      </c>
    </row>
    <row r="50">
      <c r="A50" s="14" t="inlineStr">
        <is>
          <t>2023-11</t>
        </is>
      </c>
      <c r="B50" s="23" t="n">
        <v>2023</v>
      </c>
      <c r="C50" s="24" t="inlineStr">
        <is>
          <t>November</t>
        </is>
      </c>
      <c r="D50" s="23" t="n">
        <v>46</v>
      </c>
      <c r="E50" s="24" t="inlineStr">
        <is>
          <t>Setor COS dan akomodasi pengurus</t>
        </is>
      </c>
      <c r="F50" s="24" t="inlineStr">
        <is>
          <t>Setor COS &amp; Pengurus</t>
        </is>
      </c>
      <c r="G50" s="14" t="inlineStr">
        <is>
          <t>Pengeluaran</t>
        </is>
      </c>
      <c r="H50" s="16" t="n">
        <v>9000000</v>
      </c>
    </row>
    <row r="51">
      <c r="A51" s="10" t="inlineStr">
        <is>
          <t>2023-11</t>
        </is>
      </c>
      <c r="B51" s="20" t="n">
        <v>2023</v>
      </c>
      <c r="C51" s="21" t="inlineStr">
        <is>
          <t>November</t>
        </is>
      </c>
      <c r="D51" s="20" t="n">
        <v>47</v>
      </c>
      <c r="E51" s="21" t="inlineStr">
        <is>
          <t>Angsuran Mobil</t>
        </is>
      </c>
      <c r="F51" s="21" t="inlineStr">
        <is>
          <t>Angsuran Mobil</t>
        </is>
      </c>
      <c r="G51" s="10" t="inlineStr">
        <is>
          <t>Pengeluaran</t>
        </is>
      </c>
      <c r="H51" s="12" t="n">
        <v>3800000</v>
      </c>
    </row>
    <row r="52">
      <c r="A52" s="14" t="inlineStr">
        <is>
          <t>2023-11</t>
        </is>
      </c>
      <c r="B52" s="23" t="n">
        <v>2023</v>
      </c>
      <c r="C52" s="24" t="inlineStr">
        <is>
          <t>November</t>
        </is>
      </c>
      <c r="D52" s="23" t="n">
        <v>48</v>
      </c>
      <c r="E52" s="24" t="inlineStr">
        <is>
          <t>Suka cita dan Duka cita</t>
        </is>
      </c>
      <c r="F52" s="24" t="inlineStr">
        <is>
          <t>Dana Sosial</t>
        </is>
      </c>
      <c r="G52" s="14" t="inlineStr">
        <is>
          <t>Pengeluaran</t>
        </is>
      </c>
      <c r="H52" s="16" t="n">
        <v>300000</v>
      </c>
    </row>
    <row r="53">
      <c r="A53" s="10" t="inlineStr">
        <is>
          <t>2023-11</t>
        </is>
      </c>
      <c r="B53" s="20" t="n">
        <v>2023</v>
      </c>
      <c r="C53" s="21" t="inlineStr">
        <is>
          <t>November</t>
        </is>
      </c>
      <c r="D53" s="20" t="n">
        <v>49</v>
      </c>
      <c r="E53" s="21" t="inlineStr">
        <is>
          <t>Ganti dua ban mobil PUK</t>
        </is>
      </c>
      <c r="F53" s="21" t="inlineStr">
        <is>
          <t>Kendaraan</t>
        </is>
      </c>
      <c r="G53" s="10" t="inlineStr">
        <is>
          <t>Pengeluaran</t>
        </is>
      </c>
      <c r="H53" s="12" t="n">
        <v>1900000</v>
      </c>
    </row>
    <row r="54">
      <c r="A54" s="14" t="inlineStr">
        <is>
          <t>2023-12</t>
        </is>
      </c>
      <c r="B54" s="23" t="n">
        <v>2023</v>
      </c>
      <c r="C54" s="24" t="inlineStr">
        <is>
          <t>Desember</t>
        </is>
      </c>
      <c r="D54" s="23" t="n">
        <v>50</v>
      </c>
      <c r="E54" s="24" t="inlineStr">
        <is>
          <t>Dana COS Anggota Bulan Desember 2023</t>
        </is>
      </c>
      <c r="F54" s="24" t="inlineStr">
        <is>
          <t>Pemasukan COS</t>
        </is>
      </c>
      <c r="G54" s="14" t="inlineStr">
        <is>
          <t>Pemasukan</t>
        </is>
      </c>
      <c r="H54" s="15" t="n">
        <v>18000000</v>
      </c>
    </row>
    <row r="55">
      <c r="A55" s="10" t="inlineStr">
        <is>
          <t>2023-12</t>
        </is>
      </c>
      <c r="B55" s="20" t="n">
        <v>2023</v>
      </c>
      <c r="C55" s="21" t="inlineStr">
        <is>
          <t>Desember</t>
        </is>
      </c>
      <c r="D55" s="20" t="n">
        <v>51</v>
      </c>
      <c r="E55" s="21" t="inlineStr">
        <is>
          <t>Setor COS dan akomodasi pengurus</t>
        </is>
      </c>
      <c r="F55" s="21" t="inlineStr">
        <is>
          <t>Setor COS &amp; Pengurus</t>
        </is>
      </c>
      <c r="G55" s="10" t="inlineStr">
        <is>
          <t>Pengeluaran</t>
        </is>
      </c>
      <c r="H55" s="12" t="n">
        <v>9000000</v>
      </c>
    </row>
    <row r="56">
      <c r="A56" s="14" t="inlineStr">
        <is>
          <t>2023-12</t>
        </is>
      </c>
      <c r="B56" s="23" t="n">
        <v>2023</v>
      </c>
      <c r="C56" s="24" t="inlineStr">
        <is>
          <t>Desember</t>
        </is>
      </c>
      <c r="D56" s="23" t="n">
        <v>52</v>
      </c>
      <c r="E56" s="24" t="inlineStr">
        <is>
          <t>Angsuran Mobil</t>
        </is>
      </c>
      <c r="F56" s="24" t="inlineStr">
        <is>
          <t>Angsuran Mobil</t>
        </is>
      </c>
      <c r="G56" s="14" t="inlineStr">
        <is>
          <t>Pengeluaran</t>
        </is>
      </c>
      <c r="H56" s="16" t="n">
        <v>3800000</v>
      </c>
    </row>
    <row r="57">
      <c r="A57" s="10" t="inlineStr">
        <is>
          <t>2023-12</t>
        </is>
      </c>
      <c r="B57" s="20" t="n">
        <v>2023</v>
      </c>
      <c r="C57" s="21" t="inlineStr">
        <is>
          <t>Desember</t>
        </is>
      </c>
      <c r="D57" s="20" t="n">
        <v>53</v>
      </c>
      <c r="E57" s="21" t="inlineStr">
        <is>
          <t>Suka cita dan Duka cita</t>
        </is>
      </c>
      <c r="F57" s="21" t="inlineStr">
        <is>
          <t>Dana Sosial</t>
        </is>
      </c>
      <c r="G57" s="10" t="inlineStr">
        <is>
          <t>Pengeluaran</t>
        </is>
      </c>
      <c r="H57" s="12" t="n">
        <v>300000</v>
      </c>
    </row>
    <row r="58">
      <c r="A58" s="14" t="inlineStr">
        <is>
          <t>2023-12</t>
        </is>
      </c>
      <c r="B58" s="23" t="n">
        <v>2023</v>
      </c>
      <c r="C58" s="24" t="inlineStr">
        <is>
          <t>Desember</t>
        </is>
      </c>
      <c r="D58" s="23" t="n">
        <v>54</v>
      </c>
      <c r="E58" s="24" t="inlineStr">
        <is>
          <t>Akomodasi aksi upah 2024 PEMDA Karawang</t>
        </is>
      </c>
      <c r="F58" s="24" t="inlineStr">
        <is>
          <t>Aksi &amp; Advokasi</t>
        </is>
      </c>
      <c r="G58" s="14" t="inlineStr">
        <is>
          <t>Pengeluaran</t>
        </is>
      </c>
      <c r="H58" s="16" t="n">
        <v>1500000</v>
      </c>
    </row>
    <row r="59">
      <c r="A59" s="10" t="inlineStr">
        <is>
          <t>2023-12</t>
        </is>
      </c>
      <c r="B59" s="20" t="n">
        <v>2023</v>
      </c>
      <c r="C59" s="21" t="inlineStr">
        <is>
          <t>Desember</t>
        </is>
      </c>
      <c r="D59" s="20" t="n">
        <v>55</v>
      </c>
      <c r="E59" s="21" t="inlineStr">
        <is>
          <t>Aksi KEMNAKER</t>
        </is>
      </c>
      <c r="F59" s="21" t="inlineStr">
        <is>
          <t>Aksi &amp; Advokasi</t>
        </is>
      </c>
      <c r="G59" s="10" t="inlineStr">
        <is>
          <t>Pengeluaran</t>
        </is>
      </c>
      <c r="H59" s="12" t="n">
        <v>2000000</v>
      </c>
    </row>
    <row r="60">
      <c r="A60" s="14" t="inlineStr">
        <is>
          <t>2024-01</t>
        </is>
      </c>
      <c r="B60" s="23" t="n">
        <v>2024</v>
      </c>
      <c r="C60" s="24" t="inlineStr">
        <is>
          <t>Januari</t>
        </is>
      </c>
      <c r="D60" s="23" t="n">
        <v>56</v>
      </c>
      <c r="E60" s="24" t="inlineStr">
        <is>
          <t>Dana COS Anggota Bulan Januari 2024</t>
        </is>
      </c>
      <c r="F60" s="24" t="inlineStr">
        <is>
          <t>Pemasukan COS</t>
        </is>
      </c>
      <c r="G60" s="14" t="inlineStr">
        <is>
          <t>Pemasukan</t>
        </is>
      </c>
      <c r="H60" s="15" t="n">
        <v>18000000</v>
      </c>
    </row>
    <row r="61">
      <c r="A61" s="10" t="inlineStr">
        <is>
          <t>2024-01</t>
        </is>
      </c>
      <c r="B61" s="20" t="n">
        <v>2024</v>
      </c>
      <c r="C61" s="21" t="inlineStr">
        <is>
          <t>Januari</t>
        </is>
      </c>
      <c r="D61" s="20" t="n">
        <v>57</v>
      </c>
      <c r="E61" s="21" t="inlineStr">
        <is>
          <t>Setor COS dan akomodasi pengurus</t>
        </is>
      </c>
      <c r="F61" s="21" t="inlineStr">
        <is>
          <t>Setor COS &amp; Pengurus</t>
        </is>
      </c>
      <c r="G61" s="10" t="inlineStr">
        <is>
          <t>Pengeluaran</t>
        </is>
      </c>
      <c r="H61" s="12" t="n">
        <v>9000000</v>
      </c>
    </row>
    <row r="62">
      <c r="A62" s="14" t="inlineStr">
        <is>
          <t>2024-01</t>
        </is>
      </c>
      <c r="B62" s="23" t="n">
        <v>2024</v>
      </c>
      <c r="C62" s="24" t="inlineStr">
        <is>
          <t>Januari</t>
        </is>
      </c>
      <c r="D62" s="23" t="n">
        <v>58</v>
      </c>
      <c r="E62" s="24" t="inlineStr">
        <is>
          <t>Angsuran Mobil</t>
        </is>
      </c>
      <c r="F62" s="24" t="inlineStr">
        <is>
          <t>Angsuran Mobil</t>
        </is>
      </c>
      <c r="G62" s="14" t="inlineStr">
        <is>
          <t>Pengeluaran</t>
        </is>
      </c>
      <c r="H62" s="16" t="n">
        <v>3800000</v>
      </c>
    </row>
    <row r="63">
      <c r="A63" s="10" t="inlineStr">
        <is>
          <t>2024-01</t>
        </is>
      </c>
      <c r="B63" s="20" t="n">
        <v>2024</v>
      </c>
      <c r="C63" s="21" t="inlineStr">
        <is>
          <t>Januari</t>
        </is>
      </c>
      <c r="D63" s="20" t="n">
        <v>59</v>
      </c>
      <c r="E63" s="21" t="inlineStr">
        <is>
          <t>Suka cita dan Duka cita</t>
        </is>
      </c>
      <c r="F63" s="21" t="inlineStr">
        <is>
          <t>Dana Sosial</t>
        </is>
      </c>
      <c r="G63" s="10" t="inlineStr">
        <is>
          <t>Pengeluaran</t>
        </is>
      </c>
      <c r="H63" s="12" t="n">
        <v>300000</v>
      </c>
    </row>
    <row r="64">
      <c r="A64" s="14" t="inlineStr">
        <is>
          <t>2024-01</t>
        </is>
      </c>
      <c r="B64" s="23" t="n">
        <v>2024</v>
      </c>
      <c r="C64" s="24" t="inlineStr">
        <is>
          <t>Januari</t>
        </is>
      </c>
      <c r="D64" s="23" t="n">
        <v>60</v>
      </c>
      <c r="E64" s="24" t="inlineStr">
        <is>
          <t>Aksi DPRD Jabar</t>
        </is>
      </c>
      <c r="F64" s="24" t="inlineStr">
        <is>
          <t>Aksi &amp; Advokasi</t>
        </is>
      </c>
      <c r="G64" s="14" t="inlineStr">
        <is>
          <t>Pengeluaran</t>
        </is>
      </c>
      <c r="H64" s="16" t="n">
        <v>1500000</v>
      </c>
    </row>
    <row r="65">
      <c r="A65" s="10" t="inlineStr">
        <is>
          <t>2024-01</t>
        </is>
      </c>
      <c r="B65" s="20" t="n">
        <v>2024</v>
      </c>
      <c r="C65" s="21" t="inlineStr">
        <is>
          <t>Januari</t>
        </is>
      </c>
      <c r="D65" s="20" t="n">
        <v>61</v>
      </c>
      <c r="E65" s="21" t="inlineStr">
        <is>
          <t>Akomodasi Bapor longmarch Bandung-Jakarta</t>
        </is>
      </c>
      <c r="F65" s="21" t="inlineStr">
        <is>
          <t>Aksi &amp; Advokasi</t>
        </is>
      </c>
      <c r="G65" s="10" t="inlineStr">
        <is>
          <t>Pengeluaran</t>
        </is>
      </c>
      <c r="H65" s="12" t="n">
        <v>2000000</v>
      </c>
    </row>
    <row r="66">
      <c r="A66" s="14" t="inlineStr">
        <is>
          <t>2024-02</t>
        </is>
      </c>
      <c r="B66" s="23" t="n">
        <v>2024</v>
      </c>
      <c r="C66" s="24" t="inlineStr">
        <is>
          <t>Februari</t>
        </is>
      </c>
      <c r="D66" s="23" t="n">
        <v>62</v>
      </c>
      <c r="E66" s="24" t="inlineStr">
        <is>
          <t>Dana COS Anggota Bulan Februari 2024</t>
        </is>
      </c>
      <c r="F66" s="24" t="inlineStr">
        <is>
          <t>Pemasukan COS</t>
        </is>
      </c>
      <c r="G66" s="14" t="inlineStr">
        <is>
          <t>Pemasukan</t>
        </is>
      </c>
      <c r="H66" s="15" t="n">
        <v>18000000</v>
      </c>
    </row>
    <row r="67">
      <c r="A67" s="10" t="inlineStr">
        <is>
          <t>2024-02</t>
        </is>
      </c>
      <c r="B67" s="20" t="n">
        <v>2024</v>
      </c>
      <c r="C67" s="21" t="inlineStr">
        <is>
          <t>Februari</t>
        </is>
      </c>
      <c r="D67" s="20" t="n">
        <v>63</v>
      </c>
      <c r="E67" s="21" t="inlineStr">
        <is>
          <t>Setor COS dan akomodasi pengurus</t>
        </is>
      </c>
      <c r="F67" s="21" t="inlineStr">
        <is>
          <t>Setor COS &amp; Pengurus</t>
        </is>
      </c>
      <c r="G67" s="10" t="inlineStr">
        <is>
          <t>Pengeluaran</t>
        </is>
      </c>
      <c r="H67" s="12" t="n">
        <v>9000000</v>
      </c>
    </row>
    <row r="68">
      <c r="A68" s="14" t="inlineStr">
        <is>
          <t>2024-02</t>
        </is>
      </c>
      <c r="B68" s="23" t="n">
        <v>2024</v>
      </c>
      <c r="C68" s="24" t="inlineStr">
        <is>
          <t>Februari</t>
        </is>
      </c>
      <c r="D68" s="23" t="n">
        <v>64</v>
      </c>
      <c r="E68" s="24" t="inlineStr">
        <is>
          <t>Angsuran Mobil</t>
        </is>
      </c>
      <c r="F68" s="24" t="inlineStr">
        <is>
          <t>Angsuran Mobil</t>
        </is>
      </c>
      <c r="G68" s="14" t="inlineStr">
        <is>
          <t>Pengeluaran</t>
        </is>
      </c>
      <c r="H68" s="16" t="n">
        <v>3800000</v>
      </c>
    </row>
    <row r="69">
      <c r="A69" s="10" t="inlineStr">
        <is>
          <t>2024-02</t>
        </is>
      </c>
      <c r="B69" s="20" t="n">
        <v>2024</v>
      </c>
      <c r="C69" s="21" t="inlineStr">
        <is>
          <t>Februari</t>
        </is>
      </c>
      <c r="D69" s="20" t="n">
        <v>65</v>
      </c>
      <c r="E69" s="21" t="inlineStr">
        <is>
          <t>Suka Cita dan Duka Cita</t>
        </is>
      </c>
      <c r="F69" s="21" t="inlineStr">
        <is>
          <t>Dana Sosial</t>
        </is>
      </c>
      <c r="G69" s="10" t="inlineStr">
        <is>
          <t>Pengeluaran</t>
        </is>
      </c>
      <c r="H69" s="12" t="n">
        <v>300000</v>
      </c>
    </row>
    <row r="70">
      <c r="A70" s="14" t="inlineStr">
        <is>
          <t>2024-02</t>
        </is>
      </c>
      <c r="B70" s="23" t="n">
        <v>2024</v>
      </c>
      <c r="C70" s="24" t="inlineStr">
        <is>
          <t>Februari</t>
        </is>
      </c>
      <c r="D70" s="23" t="n">
        <v>66</v>
      </c>
      <c r="E70" s="24" t="inlineStr">
        <is>
          <t>Service mobil PUK</t>
        </is>
      </c>
      <c r="F70" s="24" t="inlineStr">
        <is>
          <t>Kendaraan</t>
        </is>
      </c>
      <c r="G70" s="14" t="inlineStr">
        <is>
          <t>Pengeluaran</t>
        </is>
      </c>
      <c r="H70" s="16" t="n">
        <v>1500000</v>
      </c>
    </row>
    <row r="71">
      <c r="A71" s="10" t="inlineStr">
        <is>
          <t>2024-02</t>
        </is>
      </c>
      <c r="B71" s="20" t="n">
        <v>2024</v>
      </c>
      <c r="C71" s="21" t="inlineStr">
        <is>
          <t>Februari</t>
        </is>
      </c>
      <c r="D71" s="20" t="n">
        <v>67</v>
      </c>
      <c r="E71" s="21" t="inlineStr">
        <is>
          <t>Akomodasi Aksi PEMPROV JABAR</t>
        </is>
      </c>
      <c r="F71" s="21" t="inlineStr">
        <is>
          <t>Aksi &amp; Advokasi</t>
        </is>
      </c>
      <c r="G71" s="10" t="inlineStr">
        <is>
          <t>Pengeluaran</t>
        </is>
      </c>
      <c r="H71" s="12" t="n">
        <v>1500000</v>
      </c>
    </row>
    <row r="72">
      <c r="A72" s="14" t="inlineStr">
        <is>
          <t>2024-03</t>
        </is>
      </c>
      <c r="B72" s="23" t="n">
        <v>2024</v>
      </c>
      <c r="C72" s="24" t="inlineStr">
        <is>
          <t>Maret</t>
        </is>
      </c>
      <c r="D72" s="23" t="n">
        <v>68</v>
      </c>
      <c r="E72" s="24" t="inlineStr">
        <is>
          <t>Dana COS Anggota Bulan Maret 2024</t>
        </is>
      </c>
      <c r="F72" s="24" t="inlineStr">
        <is>
          <t>Pemasukan COS</t>
        </is>
      </c>
      <c r="G72" s="14" t="inlineStr">
        <is>
          <t>Pemasukan</t>
        </is>
      </c>
      <c r="H72" s="15" t="n">
        <v>18000000</v>
      </c>
    </row>
    <row r="73">
      <c r="A73" s="10" t="inlineStr">
        <is>
          <t>2024-03</t>
        </is>
      </c>
      <c r="B73" s="20" t="n">
        <v>2024</v>
      </c>
      <c r="C73" s="21" t="inlineStr">
        <is>
          <t>Maret</t>
        </is>
      </c>
      <c r="D73" s="20" t="n">
        <v>69</v>
      </c>
      <c r="E73" s="21" t="inlineStr">
        <is>
          <t>Setor COS dan akomodasi pengurus</t>
        </is>
      </c>
      <c r="F73" s="21" t="inlineStr">
        <is>
          <t>Setor COS &amp; Pengurus</t>
        </is>
      </c>
      <c r="G73" s="10" t="inlineStr">
        <is>
          <t>Pengeluaran</t>
        </is>
      </c>
      <c r="H73" s="12" t="n">
        <v>9000000</v>
      </c>
    </row>
    <row r="74">
      <c r="A74" s="14" t="inlineStr">
        <is>
          <t>2024-03</t>
        </is>
      </c>
      <c r="B74" s="23" t="n">
        <v>2024</v>
      </c>
      <c r="C74" s="24" t="inlineStr">
        <is>
          <t>Maret</t>
        </is>
      </c>
      <c r="D74" s="23" t="n">
        <v>70</v>
      </c>
      <c r="E74" s="24" t="inlineStr">
        <is>
          <t>Angsuran Mobil</t>
        </is>
      </c>
      <c r="F74" s="24" t="inlineStr">
        <is>
          <t>Angsuran Mobil</t>
        </is>
      </c>
      <c r="G74" s="14" t="inlineStr">
        <is>
          <t>Pengeluaran</t>
        </is>
      </c>
      <c r="H74" s="16" t="n">
        <v>3800000</v>
      </c>
    </row>
    <row r="75">
      <c r="A75" s="10" t="inlineStr">
        <is>
          <t>2024-03</t>
        </is>
      </c>
      <c r="B75" s="20" t="n">
        <v>2024</v>
      </c>
      <c r="C75" s="21" t="inlineStr">
        <is>
          <t>Maret</t>
        </is>
      </c>
      <c r="D75" s="20" t="n">
        <v>71</v>
      </c>
      <c r="E75" s="21" t="inlineStr">
        <is>
          <t>Suka Cita dan Duka Cita</t>
        </is>
      </c>
      <c r="F75" s="21" t="inlineStr">
        <is>
          <t>Dana Sosial</t>
        </is>
      </c>
      <c r="G75" s="10" t="inlineStr">
        <is>
          <t>Pengeluaran</t>
        </is>
      </c>
      <c r="H75" s="12" t="n">
        <v>300000</v>
      </c>
    </row>
    <row r="76">
      <c r="A76" s="14" t="inlineStr">
        <is>
          <t>2024-03</t>
        </is>
      </c>
      <c r="B76" s="23" t="n">
        <v>2024</v>
      </c>
      <c r="C76" s="24" t="inlineStr">
        <is>
          <t>Maret</t>
        </is>
      </c>
      <c r="D76" s="23" t="n">
        <v>72</v>
      </c>
      <c r="E76" s="24" t="inlineStr">
        <is>
          <t>Akomodasi aksi DPR RI (cabut omnibuslaw)</t>
        </is>
      </c>
      <c r="F76" s="24" t="inlineStr">
        <is>
          <t>Aksi &amp; Advokasi</t>
        </is>
      </c>
      <c r="G76" s="14" t="inlineStr">
        <is>
          <t>Pengeluaran</t>
        </is>
      </c>
      <c r="H76" s="16" t="n">
        <v>2000000</v>
      </c>
    </row>
    <row r="77">
      <c r="A77" s="10" t="inlineStr">
        <is>
          <t>2024-03</t>
        </is>
      </c>
      <c r="B77" s="20" t="n">
        <v>2024</v>
      </c>
      <c r="C77" s="21" t="inlineStr">
        <is>
          <t>Maret</t>
        </is>
      </c>
      <c r="D77" s="20" t="n">
        <v>73</v>
      </c>
      <c r="E77" s="21" t="inlineStr">
        <is>
          <t>Sumbangan BUKBER karyawan PT SAI</t>
        </is>
      </c>
      <c r="F77" s="21" t="inlineStr">
        <is>
          <t>Konsumsi &amp; Kegiatan</t>
        </is>
      </c>
      <c r="G77" s="10" t="inlineStr">
        <is>
          <t>Pengeluaran</t>
        </is>
      </c>
      <c r="H77" s="12" t="n">
        <v>1000000</v>
      </c>
    </row>
    <row r="78">
      <c r="A78" s="14" t="inlineStr">
        <is>
          <t>2024-03</t>
        </is>
      </c>
      <c r="B78" s="23" t="n">
        <v>2024</v>
      </c>
      <c r="C78" s="24" t="inlineStr">
        <is>
          <t>Maret</t>
        </is>
      </c>
      <c r="D78" s="23" t="n">
        <v>74</v>
      </c>
      <c r="E78" s="24" t="inlineStr">
        <is>
          <t>Bukber pengurus dan DPC FSP LEM SPSI</t>
        </is>
      </c>
      <c r="F78" s="24" t="inlineStr">
        <is>
          <t>Konsumsi &amp; Kegiatan</t>
        </is>
      </c>
      <c r="G78" s="14" t="inlineStr">
        <is>
          <t>Pengeluaran</t>
        </is>
      </c>
      <c r="H78" s="16" t="n">
        <v>300000</v>
      </c>
    </row>
    <row r="79">
      <c r="A79" s="10" t="inlineStr">
        <is>
          <t>2024-03</t>
        </is>
      </c>
      <c r="B79" s="20" t="n">
        <v>2024</v>
      </c>
      <c r="C79" s="21" t="inlineStr">
        <is>
          <t>Maret</t>
        </is>
      </c>
      <c r="D79" s="20" t="n">
        <v>75</v>
      </c>
      <c r="E79" s="21" t="inlineStr">
        <is>
          <t>Bukber pengurus dan manajemen</t>
        </is>
      </c>
      <c r="F79" s="21" t="inlineStr">
        <is>
          <t>Konsumsi &amp; Kegiatan</t>
        </is>
      </c>
      <c r="G79" s="10" t="inlineStr">
        <is>
          <t>Pengeluaran</t>
        </is>
      </c>
      <c r="H79" s="12" t="n">
        <v>2000000</v>
      </c>
    </row>
    <row r="80">
      <c r="A80" s="14" t="inlineStr">
        <is>
          <t>2024-04</t>
        </is>
      </c>
      <c r="B80" s="23" t="n">
        <v>2024</v>
      </c>
      <c r="C80" s="24" t="inlineStr">
        <is>
          <t>April</t>
        </is>
      </c>
      <c r="D80" s="23" t="n">
        <v>76</v>
      </c>
      <c r="E80" s="24" t="inlineStr">
        <is>
          <t>Dana COS Anggota Bulan April 2024</t>
        </is>
      </c>
      <c r="F80" s="24" t="inlineStr">
        <is>
          <t>Pemasukan COS</t>
        </is>
      </c>
      <c r="G80" s="14" t="inlineStr">
        <is>
          <t>Pemasukan</t>
        </is>
      </c>
      <c r="H80" s="15" t="n">
        <v>18000000</v>
      </c>
    </row>
    <row r="81">
      <c r="A81" s="10" t="inlineStr">
        <is>
          <t>2024-04</t>
        </is>
      </c>
      <c r="B81" s="20" t="n">
        <v>2024</v>
      </c>
      <c r="C81" s="21" t="inlineStr">
        <is>
          <t>April</t>
        </is>
      </c>
      <c r="D81" s="20" t="n">
        <v>77</v>
      </c>
      <c r="E81" s="21" t="inlineStr">
        <is>
          <t>Setor COS dan akomodasi pengurus</t>
        </is>
      </c>
      <c r="F81" s="21" t="inlineStr">
        <is>
          <t>Setor COS &amp; Pengurus</t>
        </is>
      </c>
      <c r="G81" s="10" t="inlineStr">
        <is>
          <t>Pengeluaran</t>
        </is>
      </c>
      <c r="H81" s="12" t="n">
        <v>9000000</v>
      </c>
    </row>
    <row r="82">
      <c r="A82" s="14" t="inlineStr">
        <is>
          <t>2024-04</t>
        </is>
      </c>
      <c r="B82" s="23" t="n">
        <v>2024</v>
      </c>
      <c r="C82" s="24" t="inlineStr">
        <is>
          <t>April</t>
        </is>
      </c>
      <c r="D82" s="23" t="n">
        <v>78</v>
      </c>
      <c r="E82" s="24" t="inlineStr">
        <is>
          <t>Angsuran Mobil</t>
        </is>
      </c>
      <c r="F82" s="24" t="inlineStr">
        <is>
          <t>Angsuran Mobil</t>
        </is>
      </c>
      <c r="G82" s="14" t="inlineStr">
        <is>
          <t>Pengeluaran</t>
        </is>
      </c>
      <c r="H82" s="16" t="n">
        <v>3800000</v>
      </c>
    </row>
    <row r="83">
      <c r="A83" s="10" t="inlineStr">
        <is>
          <t>2024-04</t>
        </is>
      </c>
      <c r="B83" s="20" t="n">
        <v>2024</v>
      </c>
      <c r="C83" s="21" t="inlineStr">
        <is>
          <t>April</t>
        </is>
      </c>
      <c r="D83" s="20" t="n">
        <v>79</v>
      </c>
      <c r="E83" s="21" t="inlineStr">
        <is>
          <t>Dana sosial suka cita dan duka cita</t>
        </is>
      </c>
      <c r="F83" s="21" t="inlineStr">
        <is>
          <t>Dana Sosial</t>
        </is>
      </c>
      <c r="G83" s="10" t="inlineStr">
        <is>
          <t>Pengeluaran</t>
        </is>
      </c>
      <c r="H83" s="12" t="n">
        <v>300000</v>
      </c>
    </row>
    <row r="84">
      <c r="A84" s="14" t="inlineStr">
        <is>
          <t>2024-04</t>
        </is>
      </c>
      <c r="B84" s="23" t="n">
        <v>2024</v>
      </c>
      <c r="C84" s="24" t="inlineStr">
        <is>
          <t>April</t>
        </is>
      </c>
      <c r="D84" s="23" t="n">
        <v>80</v>
      </c>
      <c r="E84" s="24" t="inlineStr">
        <is>
          <t>THR DPC dan DPD FSP LEM SPSI</t>
        </is>
      </c>
      <c r="F84" s="24" t="inlineStr">
        <is>
          <t>THR &amp; Bonus</t>
        </is>
      </c>
      <c r="G84" s="14" t="inlineStr">
        <is>
          <t>Pengeluaran</t>
        </is>
      </c>
      <c r="H84" s="16" t="n">
        <v>5000000</v>
      </c>
    </row>
    <row r="85">
      <c r="A85" s="10" t="inlineStr">
        <is>
          <t>2024-04</t>
        </is>
      </c>
      <c r="B85" s="20" t="n">
        <v>2024</v>
      </c>
      <c r="C85" s="21" t="inlineStr">
        <is>
          <t>April</t>
        </is>
      </c>
      <c r="D85" s="20" t="n">
        <v>81</v>
      </c>
      <c r="E85" s="21" t="inlineStr">
        <is>
          <t>THR pengurus PUK PT SAI</t>
        </is>
      </c>
      <c r="F85" s="21" t="inlineStr">
        <is>
          <t>THR &amp; Bonus</t>
        </is>
      </c>
      <c r="G85" s="10" t="inlineStr">
        <is>
          <t>Pengeluaran</t>
        </is>
      </c>
      <c r="H85" s="12" t="n">
        <v>4000000</v>
      </c>
    </row>
    <row r="86">
      <c r="A86" s="14" t="inlineStr">
        <is>
          <t>2024-04</t>
        </is>
      </c>
      <c r="B86" s="23" t="n">
        <v>2024</v>
      </c>
      <c r="C86" s="24" t="inlineStr">
        <is>
          <t>April</t>
        </is>
      </c>
      <c r="D86" s="23" t="n">
        <v>82</v>
      </c>
      <c r="E86" s="24" t="inlineStr">
        <is>
          <t>Akomodasi pengantaran jenazah anggota ke Banyuwangi</t>
        </is>
      </c>
      <c r="F86" s="24" t="inlineStr">
        <is>
          <t>Dana Sosial</t>
        </is>
      </c>
      <c r="G86" s="14" t="inlineStr">
        <is>
          <t>Pengeluaran</t>
        </is>
      </c>
      <c r="H86" s="16" t="n">
        <v>2000000</v>
      </c>
    </row>
    <row r="87">
      <c r="A87" s="10" t="inlineStr">
        <is>
          <t>2024-05</t>
        </is>
      </c>
      <c r="B87" s="20" t="n">
        <v>2024</v>
      </c>
      <c r="C87" s="21" t="inlineStr">
        <is>
          <t>Mei</t>
        </is>
      </c>
      <c r="D87" s="20" t="n">
        <v>83</v>
      </c>
      <c r="E87" s="21" t="inlineStr">
        <is>
          <t>Dana COS Anggota Bulan Mei 2024</t>
        </is>
      </c>
      <c r="F87" s="21" t="inlineStr">
        <is>
          <t>Pemasukan COS</t>
        </is>
      </c>
      <c r="G87" s="10" t="inlineStr">
        <is>
          <t>Pemasukan</t>
        </is>
      </c>
      <c r="H87" s="11" t="n">
        <v>18000000</v>
      </c>
    </row>
    <row r="88">
      <c r="A88" s="14" t="inlineStr">
        <is>
          <t>2024-05</t>
        </is>
      </c>
      <c r="B88" s="23" t="n">
        <v>2024</v>
      </c>
      <c r="C88" s="24" t="inlineStr">
        <is>
          <t>Mei</t>
        </is>
      </c>
      <c r="D88" s="23" t="n">
        <v>84</v>
      </c>
      <c r="E88" s="24" t="inlineStr">
        <is>
          <t>Setor COS dan akomodasi pengurus</t>
        </is>
      </c>
      <c r="F88" s="24" t="inlineStr">
        <is>
          <t>Setor COS &amp; Pengurus</t>
        </is>
      </c>
      <c r="G88" s="14" t="inlineStr">
        <is>
          <t>Pengeluaran</t>
        </is>
      </c>
      <c r="H88" s="16" t="n">
        <v>9000000</v>
      </c>
    </row>
    <row r="89">
      <c r="A89" s="10" t="inlineStr">
        <is>
          <t>2024-05</t>
        </is>
      </c>
      <c r="B89" s="20" t="n">
        <v>2024</v>
      </c>
      <c r="C89" s="21" t="inlineStr">
        <is>
          <t>Mei</t>
        </is>
      </c>
      <c r="D89" s="20" t="n">
        <v>85</v>
      </c>
      <c r="E89" s="21" t="inlineStr">
        <is>
          <t>Angsuran Mobil</t>
        </is>
      </c>
      <c r="F89" s="21" t="inlineStr">
        <is>
          <t>Angsuran Mobil</t>
        </is>
      </c>
      <c r="G89" s="10" t="inlineStr">
        <is>
          <t>Pengeluaran</t>
        </is>
      </c>
      <c r="H89" s="12" t="n">
        <v>3800000</v>
      </c>
    </row>
    <row r="90">
      <c r="A90" s="14" t="inlineStr">
        <is>
          <t>2024-05</t>
        </is>
      </c>
      <c r="B90" s="23" t="n">
        <v>2024</v>
      </c>
      <c r="C90" s="24" t="inlineStr">
        <is>
          <t>Mei</t>
        </is>
      </c>
      <c r="D90" s="23" t="n">
        <v>86</v>
      </c>
      <c r="E90" s="24" t="inlineStr">
        <is>
          <t>Suka Cita dan Duka Cita</t>
        </is>
      </c>
      <c r="F90" s="24" t="inlineStr">
        <is>
          <t>Dana Sosial</t>
        </is>
      </c>
      <c r="G90" s="14" t="inlineStr">
        <is>
          <t>Pengeluaran</t>
        </is>
      </c>
      <c r="H90" s="16" t="n">
        <v>300000</v>
      </c>
    </row>
    <row r="91">
      <c r="A91" s="10" t="inlineStr">
        <is>
          <t>2024-05</t>
        </is>
      </c>
      <c r="B91" s="20" t="n">
        <v>2024</v>
      </c>
      <c r="C91" s="21" t="inlineStr">
        <is>
          <t>Mei</t>
        </is>
      </c>
      <c r="D91" s="20" t="n">
        <v>87</v>
      </c>
      <c r="E91" s="21" t="inlineStr">
        <is>
          <t>Akomodasi May Day</t>
        </is>
      </c>
      <c r="F91" s="21" t="inlineStr">
        <is>
          <t>May Day</t>
        </is>
      </c>
      <c r="G91" s="10" t="inlineStr">
        <is>
          <t>Pengeluaran</t>
        </is>
      </c>
      <c r="H91" s="12" t="n">
        <v>3000000</v>
      </c>
    </row>
    <row r="92">
      <c r="A92" s="14" t="inlineStr">
        <is>
          <t>2024-05</t>
        </is>
      </c>
      <c r="B92" s="23" t="n">
        <v>2024</v>
      </c>
      <c r="C92" s="24" t="inlineStr">
        <is>
          <t>Mei</t>
        </is>
      </c>
      <c r="D92" s="23" t="n">
        <v>88</v>
      </c>
      <c r="E92" s="24" t="inlineStr">
        <is>
          <t>Beli kaos May Day</t>
        </is>
      </c>
      <c r="F92" s="24" t="inlineStr">
        <is>
          <t>Perlengkapan &amp; Atribut</t>
        </is>
      </c>
      <c r="G92" s="14" t="inlineStr">
        <is>
          <t>Pengeluaran</t>
        </is>
      </c>
      <c r="H92" s="16" t="n">
        <v>720000</v>
      </c>
    </row>
    <row r="93">
      <c r="A93" s="10" t="inlineStr">
        <is>
          <t>2024-05</t>
        </is>
      </c>
      <c r="B93" s="20" t="n">
        <v>2024</v>
      </c>
      <c r="C93" s="21" t="inlineStr">
        <is>
          <t>Mei</t>
        </is>
      </c>
      <c r="D93" s="20" t="n">
        <v>89</v>
      </c>
      <c r="E93" s="21" t="inlineStr">
        <is>
          <t>Akomodasi menghadiri MUSNIK PUK TMMIN</t>
        </is>
      </c>
      <c r="F93" s="21" t="inlineStr">
        <is>
          <t>Kegiatan Organisasi</t>
        </is>
      </c>
      <c r="G93" s="10" t="inlineStr">
        <is>
          <t>Pengeluaran</t>
        </is>
      </c>
      <c r="H93" s="12" t="n">
        <v>1000000</v>
      </c>
    </row>
    <row r="94">
      <c r="A94" s="14" t="inlineStr">
        <is>
          <t>2024-05</t>
        </is>
      </c>
      <c r="B94" s="23" t="n">
        <v>2024</v>
      </c>
      <c r="C94" s="24" t="inlineStr">
        <is>
          <t>Mei</t>
        </is>
      </c>
      <c r="D94" s="23" t="n">
        <v>90</v>
      </c>
      <c r="E94" s="24" t="inlineStr">
        <is>
          <t>Akomodasi RAKERCAB DPC</t>
        </is>
      </c>
      <c r="F94" s="24" t="inlineStr">
        <is>
          <t>Kegiatan Organisasi</t>
        </is>
      </c>
      <c r="G94" s="14" t="inlineStr">
        <is>
          <t>Pengeluaran</t>
        </is>
      </c>
      <c r="H94" s="16" t="n">
        <v>5000000</v>
      </c>
    </row>
    <row r="95">
      <c r="A95" s="10" t="inlineStr">
        <is>
          <t>2024-05</t>
        </is>
      </c>
      <c r="B95" s="20" t="n">
        <v>2024</v>
      </c>
      <c r="C95" s="21" t="inlineStr">
        <is>
          <t>Mei</t>
        </is>
      </c>
      <c r="D95" s="20" t="n">
        <v>91</v>
      </c>
      <c r="E95" s="21" t="inlineStr">
        <is>
          <t>Service mobil</t>
        </is>
      </c>
      <c r="F95" s="21" t="inlineStr">
        <is>
          <t>Kendaraan</t>
        </is>
      </c>
      <c r="G95" s="10" t="inlineStr">
        <is>
          <t>Pengeluaran</t>
        </is>
      </c>
      <c r="H95" s="12" t="n">
        <v>1500000</v>
      </c>
    </row>
    <row r="96">
      <c r="A96" s="14" t="inlineStr">
        <is>
          <t>2024-06</t>
        </is>
      </c>
      <c r="B96" s="23" t="n">
        <v>2024</v>
      </c>
      <c r="C96" s="24" t="inlineStr">
        <is>
          <t>Juni</t>
        </is>
      </c>
      <c r="D96" s="23" t="n">
        <v>92</v>
      </c>
      <c r="E96" s="24" t="inlineStr">
        <is>
          <t>Dana COS Anggota Bulan Juni 2024</t>
        </is>
      </c>
      <c r="F96" s="24" t="inlineStr">
        <is>
          <t>Pemasukan COS</t>
        </is>
      </c>
      <c r="G96" s="14" t="inlineStr">
        <is>
          <t>Pemasukan</t>
        </is>
      </c>
      <c r="H96" s="15" t="n">
        <v>18000000</v>
      </c>
    </row>
    <row r="97">
      <c r="A97" s="10" t="inlineStr">
        <is>
          <t>2024-06</t>
        </is>
      </c>
      <c r="B97" s="20" t="n">
        <v>2024</v>
      </c>
      <c r="C97" s="21" t="inlineStr">
        <is>
          <t>Juni</t>
        </is>
      </c>
      <c r="D97" s="20" t="n">
        <v>93</v>
      </c>
      <c r="E97" s="21" t="inlineStr">
        <is>
          <t>Setor COS dan akomodasi pengurus</t>
        </is>
      </c>
      <c r="F97" s="21" t="inlineStr">
        <is>
          <t>Setor COS &amp; Pengurus</t>
        </is>
      </c>
      <c r="G97" s="10" t="inlineStr">
        <is>
          <t>Pengeluaran</t>
        </is>
      </c>
      <c r="H97" s="12" t="n">
        <v>9000000</v>
      </c>
    </row>
    <row r="98">
      <c r="A98" s="14" t="inlineStr">
        <is>
          <t>2024-06</t>
        </is>
      </c>
      <c r="B98" s="23" t="n">
        <v>2024</v>
      </c>
      <c r="C98" s="24" t="inlineStr">
        <is>
          <t>Juni</t>
        </is>
      </c>
      <c r="D98" s="23" t="n">
        <v>94</v>
      </c>
      <c r="E98" s="24" t="inlineStr">
        <is>
          <t>Angsuran Mobil</t>
        </is>
      </c>
      <c r="F98" s="24" t="inlineStr">
        <is>
          <t>Angsuran Mobil</t>
        </is>
      </c>
      <c r="G98" s="14" t="inlineStr">
        <is>
          <t>Pengeluaran</t>
        </is>
      </c>
      <c r="H98" s="16" t="n">
        <v>3800000</v>
      </c>
    </row>
    <row r="99">
      <c r="A99" s="10" t="inlineStr">
        <is>
          <t>2024-06</t>
        </is>
      </c>
      <c r="B99" s="20" t="n">
        <v>2024</v>
      </c>
      <c r="C99" s="21" t="inlineStr">
        <is>
          <t>Juni</t>
        </is>
      </c>
      <c r="D99" s="20" t="n">
        <v>95</v>
      </c>
      <c r="E99" s="21" t="inlineStr">
        <is>
          <t>Suka Cita dan Duka Cita</t>
        </is>
      </c>
      <c r="F99" s="21" t="inlineStr">
        <is>
          <t>Dana Sosial</t>
        </is>
      </c>
      <c r="G99" s="10" t="inlineStr">
        <is>
          <t>Pengeluaran</t>
        </is>
      </c>
      <c r="H99" s="12" t="n">
        <v>300000</v>
      </c>
    </row>
    <row r="100">
      <c r="A100" s="14" t="inlineStr">
        <is>
          <t>2024-06</t>
        </is>
      </c>
      <c r="B100" s="23" t="n">
        <v>2024</v>
      </c>
      <c r="C100" s="24" t="inlineStr">
        <is>
          <t>Juni</t>
        </is>
      </c>
      <c r="D100" s="23" t="n">
        <v>96</v>
      </c>
      <c r="E100" s="24" t="inlineStr">
        <is>
          <t>Bayar pajak mobil PUK</t>
        </is>
      </c>
      <c r="F100" s="24" t="inlineStr">
        <is>
          <t>Kendaraan</t>
        </is>
      </c>
      <c r="G100" s="14" t="inlineStr">
        <is>
          <t>Pengeluaran</t>
        </is>
      </c>
      <c r="H100" s="16" t="n">
        <v>4000000</v>
      </c>
    </row>
    <row r="101">
      <c r="A101" s="10" t="inlineStr">
        <is>
          <t>2024-06</t>
        </is>
      </c>
      <c r="B101" s="20" t="n">
        <v>2024</v>
      </c>
      <c r="C101" s="21" t="inlineStr">
        <is>
          <t>Juni</t>
        </is>
      </c>
      <c r="D101" s="20" t="n">
        <v>97</v>
      </c>
      <c r="E101" s="21" t="inlineStr">
        <is>
          <t>Akomodasi aksi DPRD Karawang</t>
        </is>
      </c>
      <c r="F101" s="21" t="inlineStr">
        <is>
          <t>Aksi &amp; Advokasi</t>
        </is>
      </c>
      <c r="G101" s="10" t="inlineStr">
        <is>
          <t>Pengeluaran</t>
        </is>
      </c>
      <c r="H101" s="12" t="n">
        <v>1000000</v>
      </c>
    </row>
    <row r="102">
      <c r="A102" s="14" t="inlineStr">
        <is>
          <t>2024-06</t>
        </is>
      </c>
      <c r="B102" s="23" t="n">
        <v>2024</v>
      </c>
      <c r="C102" s="24" t="inlineStr">
        <is>
          <t>Juni</t>
        </is>
      </c>
      <c r="D102" s="23" t="n">
        <v>98</v>
      </c>
      <c r="E102" s="24" t="inlineStr">
        <is>
          <t>Akomodasi aksi DPRD Bandung</t>
        </is>
      </c>
      <c r="F102" s="24" t="inlineStr">
        <is>
          <t>Aksi &amp; Advokasi</t>
        </is>
      </c>
      <c r="G102" s="14" t="inlineStr">
        <is>
          <t>Pengeluaran</t>
        </is>
      </c>
      <c r="H102" s="16" t="n">
        <v>2000000</v>
      </c>
    </row>
    <row r="103">
      <c r="A103" s="10" t="inlineStr">
        <is>
          <t>2024-06</t>
        </is>
      </c>
      <c r="B103" s="20" t="n">
        <v>2024</v>
      </c>
      <c r="C103" s="21" t="inlineStr">
        <is>
          <t>Juni</t>
        </is>
      </c>
      <c r="D103" s="20" t="n">
        <v>99</v>
      </c>
      <c r="E103" s="21" t="inlineStr">
        <is>
          <t>Dana konsolidasi/perjuangan</t>
        </is>
      </c>
      <c r="F103" s="21" t="inlineStr">
        <is>
          <t>Aksi &amp; Advokasi</t>
        </is>
      </c>
      <c r="G103" s="10" t="inlineStr">
        <is>
          <t>Pengeluaran</t>
        </is>
      </c>
      <c r="H103" s="12" t="n">
        <v>5000000</v>
      </c>
    </row>
    <row r="104">
      <c r="A104" s="14" t="inlineStr">
        <is>
          <t>2024-07</t>
        </is>
      </c>
      <c r="B104" s="23" t="n">
        <v>2024</v>
      </c>
      <c r="C104" s="24" t="inlineStr">
        <is>
          <t>Juli</t>
        </is>
      </c>
      <c r="D104" s="23" t="n">
        <v>100</v>
      </c>
      <c r="E104" s="24" t="inlineStr">
        <is>
          <t>Dana COS Anggota Bulan Juli 2024</t>
        </is>
      </c>
      <c r="F104" s="24" t="inlineStr">
        <is>
          <t>Pemasukan COS</t>
        </is>
      </c>
      <c r="G104" s="14" t="inlineStr">
        <is>
          <t>Pemasukan</t>
        </is>
      </c>
      <c r="H104" s="15" t="n">
        <v>18000000</v>
      </c>
    </row>
    <row r="105">
      <c r="A105" s="10" t="inlineStr">
        <is>
          <t>2024-07</t>
        </is>
      </c>
      <c r="B105" s="20" t="n">
        <v>2024</v>
      </c>
      <c r="C105" s="21" t="inlineStr">
        <is>
          <t>Juli</t>
        </is>
      </c>
      <c r="D105" s="20" t="n">
        <v>101</v>
      </c>
      <c r="E105" s="21" t="inlineStr">
        <is>
          <t>Setor COS dan akomodasi pengurus</t>
        </is>
      </c>
      <c r="F105" s="21" t="inlineStr">
        <is>
          <t>Setor COS &amp; Pengurus</t>
        </is>
      </c>
      <c r="G105" s="10" t="inlineStr">
        <is>
          <t>Pengeluaran</t>
        </is>
      </c>
      <c r="H105" s="12" t="n">
        <v>9000000</v>
      </c>
    </row>
    <row r="106">
      <c r="A106" s="14" t="inlineStr">
        <is>
          <t>2024-07</t>
        </is>
      </c>
      <c r="B106" s="23" t="n">
        <v>2024</v>
      </c>
      <c r="C106" s="24" t="inlineStr">
        <is>
          <t>Juli</t>
        </is>
      </c>
      <c r="D106" s="23" t="n">
        <v>102</v>
      </c>
      <c r="E106" s="24" t="inlineStr">
        <is>
          <t>Angsuran Mobil</t>
        </is>
      </c>
      <c r="F106" s="24" t="inlineStr">
        <is>
          <t>Angsuran Mobil</t>
        </is>
      </c>
      <c r="G106" s="14" t="inlineStr">
        <is>
          <t>Pengeluaran</t>
        </is>
      </c>
      <c r="H106" s="16" t="n">
        <v>3800000</v>
      </c>
    </row>
    <row r="107">
      <c r="A107" s="10" t="inlineStr">
        <is>
          <t>2024-07</t>
        </is>
      </c>
      <c r="B107" s="20" t="n">
        <v>2024</v>
      </c>
      <c r="C107" s="21" t="inlineStr">
        <is>
          <t>Juli</t>
        </is>
      </c>
      <c r="D107" s="20" t="n">
        <v>103</v>
      </c>
      <c r="E107" s="21" t="inlineStr">
        <is>
          <t>Suka Cita dan Duka Cita</t>
        </is>
      </c>
      <c r="F107" s="21" t="inlineStr">
        <is>
          <t>Dana Sosial</t>
        </is>
      </c>
      <c r="G107" s="10" t="inlineStr">
        <is>
          <t>Pengeluaran</t>
        </is>
      </c>
      <c r="H107" s="12" t="n">
        <v>300000</v>
      </c>
    </row>
    <row r="108">
      <c r="A108" s="14" t="inlineStr">
        <is>
          <t>2024-07</t>
        </is>
      </c>
      <c r="B108" s="23" t="n">
        <v>2024</v>
      </c>
      <c r="C108" s="24" t="inlineStr">
        <is>
          <t>Juli</t>
        </is>
      </c>
      <c r="D108" s="23" t="n">
        <v>104</v>
      </c>
      <c r="E108" s="24" t="inlineStr">
        <is>
          <t>Pembelian aset laptop Advance</t>
        </is>
      </c>
      <c r="F108" s="24" t="inlineStr">
        <is>
          <t>Aset &amp; Operasional</t>
        </is>
      </c>
      <c r="G108" s="14" t="inlineStr">
        <is>
          <t>Pengeluaran</t>
        </is>
      </c>
      <c r="H108" s="16" t="n">
        <v>5400000</v>
      </c>
    </row>
    <row r="109">
      <c r="A109" s="10" t="inlineStr">
        <is>
          <t>2024-07</t>
        </is>
      </c>
      <c r="B109" s="20" t="n">
        <v>2024</v>
      </c>
      <c r="C109" s="21" t="inlineStr">
        <is>
          <t>Juli</t>
        </is>
      </c>
      <c r="D109" s="20" t="n">
        <v>105</v>
      </c>
      <c r="E109" s="21" t="inlineStr">
        <is>
          <t>Akomodasi aksi Disnakertrans JABAR</t>
        </is>
      </c>
      <c r="F109" s="21" t="inlineStr">
        <is>
          <t>Aksi &amp; Advokasi</t>
        </is>
      </c>
      <c r="G109" s="10" t="inlineStr">
        <is>
          <t>Pengeluaran</t>
        </is>
      </c>
      <c r="H109" s="12" t="n">
        <v>2000000</v>
      </c>
    </row>
    <row r="110">
      <c r="A110" s="14" t="inlineStr">
        <is>
          <t>2024-08</t>
        </is>
      </c>
      <c r="B110" s="23" t="n">
        <v>2024</v>
      </c>
      <c r="C110" s="24" t="inlineStr">
        <is>
          <t>Agustus</t>
        </is>
      </c>
      <c r="D110" s="23" t="n">
        <v>106</v>
      </c>
      <c r="E110" s="24" t="inlineStr">
        <is>
          <t>Dana COS Anggota Bulan Agustus 2024</t>
        </is>
      </c>
      <c r="F110" s="24" t="inlineStr">
        <is>
          <t>Pemasukan COS</t>
        </is>
      </c>
      <c r="G110" s="14" t="inlineStr">
        <is>
          <t>Pemasukan</t>
        </is>
      </c>
      <c r="H110" s="15" t="n">
        <v>18000000</v>
      </c>
    </row>
    <row r="111">
      <c r="A111" s="10" t="inlineStr">
        <is>
          <t>2024-08</t>
        </is>
      </c>
      <c r="B111" s="20" t="n">
        <v>2024</v>
      </c>
      <c r="C111" s="21" t="inlineStr">
        <is>
          <t>Agustus</t>
        </is>
      </c>
      <c r="D111" s="20" t="n">
        <v>107</v>
      </c>
      <c r="E111" s="21" t="inlineStr">
        <is>
          <t>Setor COS dan akomodasi pengurus</t>
        </is>
      </c>
      <c r="F111" s="21" t="inlineStr">
        <is>
          <t>Setor COS &amp; Pengurus</t>
        </is>
      </c>
      <c r="G111" s="10" t="inlineStr">
        <is>
          <t>Pengeluaran</t>
        </is>
      </c>
      <c r="H111" s="12" t="n">
        <v>9000000</v>
      </c>
    </row>
    <row r="112">
      <c r="A112" s="14" t="inlineStr">
        <is>
          <t>2024-08</t>
        </is>
      </c>
      <c r="B112" s="23" t="n">
        <v>2024</v>
      </c>
      <c r="C112" s="24" t="inlineStr">
        <is>
          <t>Agustus</t>
        </is>
      </c>
      <c r="D112" s="23" t="n">
        <v>108</v>
      </c>
      <c r="E112" s="24" t="inlineStr">
        <is>
          <t>Angsuran Mobil</t>
        </is>
      </c>
      <c r="F112" s="24" t="inlineStr">
        <is>
          <t>Angsuran Mobil</t>
        </is>
      </c>
      <c r="G112" s="14" t="inlineStr">
        <is>
          <t>Pengeluaran</t>
        </is>
      </c>
      <c r="H112" s="16" t="n">
        <v>3800000</v>
      </c>
    </row>
    <row r="113">
      <c r="A113" s="10" t="inlineStr">
        <is>
          <t>2024-08</t>
        </is>
      </c>
      <c r="B113" s="20" t="n">
        <v>2024</v>
      </c>
      <c r="C113" s="21" t="inlineStr">
        <is>
          <t>Agustus</t>
        </is>
      </c>
      <c r="D113" s="20" t="n">
        <v>109</v>
      </c>
      <c r="E113" s="21" t="inlineStr">
        <is>
          <t>Suka Cita dan Duka Cita</t>
        </is>
      </c>
      <c r="F113" s="21" t="inlineStr">
        <is>
          <t>Dana Sosial</t>
        </is>
      </c>
      <c r="G113" s="10" t="inlineStr">
        <is>
          <t>Pengeluaran</t>
        </is>
      </c>
      <c r="H113" s="12" t="n">
        <v>300000</v>
      </c>
    </row>
    <row r="114">
      <c r="A114" s="14" t="inlineStr">
        <is>
          <t>2024-08</t>
        </is>
      </c>
      <c r="B114" s="23" t="n">
        <v>2024</v>
      </c>
      <c r="C114" s="24" t="inlineStr">
        <is>
          <t>Agustus</t>
        </is>
      </c>
      <c r="D114" s="23" t="n">
        <v>110</v>
      </c>
      <c r="E114" s="24" t="inlineStr">
        <is>
          <t>Pembuatan kaos anggota 50 pcs</t>
        </is>
      </c>
      <c r="F114" s="24" t="inlineStr">
        <is>
          <t>Perlengkapan &amp; Atribut</t>
        </is>
      </c>
      <c r="G114" s="14" t="inlineStr">
        <is>
          <t>Pengeluaran</t>
        </is>
      </c>
      <c r="H114" s="16" t="n">
        <v>3000000</v>
      </c>
    </row>
    <row r="115">
      <c r="A115" s="10" t="inlineStr">
        <is>
          <t>2024-08</t>
        </is>
      </c>
      <c r="B115" s="20" t="n">
        <v>2024</v>
      </c>
      <c r="C115" s="21" t="inlineStr">
        <is>
          <t>Agustus</t>
        </is>
      </c>
      <c r="D115" s="20" t="n">
        <v>111</v>
      </c>
      <c r="E115" s="21" t="inlineStr">
        <is>
          <t>Akomodasi RAKORNAS BAPOR</t>
        </is>
      </c>
      <c r="F115" s="21" t="inlineStr">
        <is>
          <t>Kegiatan Organisasi</t>
        </is>
      </c>
      <c r="G115" s="10" t="inlineStr">
        <is>
          <t>Pengeluaran</t>
        </is>
      </c>
      <c r="H115" s="12" t="n">
        <v>2000000</v>
      </c>
    </row>
    <row r="116">
      <c r="A116" s="14" t="inlineStr">
        <is>
          <t>2024-09</t>
        </is>
      </c>
      <c r="B116" s="23" t="n">
        <v>2024</v>
      </c>
      <c r="C116" s="24" t="inlineStr">
        <is>
          <t>September</t>
        </is>
      </c>
      <c r="D116" s="23" t="n">
        <v>112</v>
      </c>
      <c r="E116" s="24" t="inlineStr">
        <is>
          <t>Dana COS Anggota Bulan September 2024</t>
        </is>
      </c>
      <c r="F116" s="24" t="inlineStr">
        <is>
          <t>Pemasukan COS</t>
        </is>
      </c>
      <c r="G116" s="14" t="inlineStr">
        <is>
          <t>Pemasukan</t>
        </is>
      </c>
      <c r="H116" s="15" t="n">
        <v>18000000</v>
      </c>
    </row>
    <row r="117">
      <c r="A117" s="10" t="inlineStr">
        <is>
          <t>2024-09</t>
        </is>
      </c>
      <c r="B117" s="20" t="n">
        <v>2024</v>
      </c>
      <c r="C117" s="21" t="inlineStr">
        <is>
          <t>September</t>
        </is>
      </c>
      <c r="D117" s="20" t="n">
        <v>113</v>
      </c>
      <c r="E117" s="21" t="inlineStr">
        <is>
          <t>Setor COS dan akomodasi pengurus</t>
        </is>
      </c>
      <c r="F117" s="21" t="inlineStr">
        <is>
          <t>Setor COS &amp; Pengurus</t>
        </is>
      </c>
      <c r="G117" s="10" t="inlineStr">
        <is>
          <t>Pengeluaran</t>
        </is>
      </c>
      <c r="H117" s="12" t="n">
        <v>9000000</v>
      </c>
    </row>
    <row r="118">
      <c r="A118" s="14" t="inlineStr">
        <is>
          <t>2024-09</t>
        </is>
      </c>
      <c r="B118" s="23" t="n">
        <v>2024</v>
      </c>
      <c r="C118" s="24" t="inlineStr">
        <is>
          <t>September</t>
        </is>
      </c>
      <c r="D118" s="23" t="n">
        <v>114</v>
      </c>
      <c r="E118" s="24" t="inlineStr">
        <is>
          <t>Angsuran Mobil</t>
        </is>
      </c>
      <c r="F118" s="24" t="inlineStr">
        <is>
          <t>Angsuran Mobil</t>
        </is>
      </c>
      <c r="G118" s="14" t="inlineStr">
        <is>
          <t>Pengeluaran</t>
        </is>
      </c>
      <c r="H118" s="16" t="n">
        <v>3800000</v>
      </c>
    </row>
    <row r="119">
      <c r="A119" s="10" t="inlineStr">
        <is>
          <t>2024-09</t>
        </is>
      </c>
      <c r="B119" s="20" t="n">
        <v>2024</v>
      </c>
      <c r="C119" s="21" t="inlineStr">
        <is>
          <t>September</t>
        </is>
      </c>
      <c r="D119" s="20" t="n">
        <v>115</v>
      </c>
      <c r="E119" s="21" t="inlineStr">
        <is>
          <t>Suka Cita dan Duka Cita</t>
        </is>
      </c>
      <c r="F119" s="21" t="inlineStr">
        <is>
          <t>Dana Sosial</t>
        </is>
      </c>
      <c r="G119" s="10" t="inlineStr">
        <is>
          <t>Pengeluaran</t>
        </is>
      </c>
      <c r="H119" s="12" t="n">
        <v>300000</v>
      </c>
    </row>
    <row r="120">
      <c r="A120" s="14" t="inlineStr">
        <is>
          <t>2024-10</t>
        </is>
      </c>
      <c r="B120" s="23" t="n">
        <v>2024</v>
      </c>
      <c r="C120" s="24" t="inlineStr">
        <is>
          <t>Oktober</t>
        </is>
      </c>
      <c r="D120" s="23" t="n">
        <v>116</v>
      </c>
      <c r="E120" s="24" t="inlineStr">
        <is>
          <t>Dana COS Anggota Bulan Oktober 2024</t>
        </is>
      </c>
      <c r="F120" s="24" t="inlineStr">
        <is>
          <t>Pemasukan COS</t>
        </is>
      </c>
      <c r="G120" s="14" t="inlineStr">
        <is>
          <t>Pemasukan</t>
        </is>
      </c>
      <c r="H120" s="15" t="n">
        <v>18000000</v>
      </c>
    </row>
    <row r="121">
      <c r="A121" s="10" t="inlineStr">
        <is>
          <t>2024-10</t>
        </is>
      </c>
      <c r="B121" s="20" t="n">
        <v>2024</v>
      </c>
      <c r="C121" s="21" t="inlineStr">
        <is>
          <t>Oktober</t>
        </is>
      </c>
      <c r="D121" s="20" t="n">
        <v>117</v>
      </c>
      <c r="E121" s="21" t="inlineStr">
        <is>
          <t>Setor COS dan akomodasi pengurus</t>
        </is>
      </c>
      <c r="F121" s="21" t="inlineStr">
        <is>
          <t>Setor COS &amp; Pengurus</t>
        </is>
      </c>
      <c r="G121" s="10" t="inlineStr">
        <is>
          <t>Pengeluaran</t>
        </is>
      </c>
      <c r="H121" s="12" t="n">
        <v>9000000</v>
      </c>
    </row>
    <row r="122">
      <c r="A122" s="14" t="inlineStr">
        <is>
          <t>2024-10</t>
        </is>
      </c>
      <c r="B122" s="23" t="n">
        <v>2024</v>
      </c>
      <c r="C122" s="24" t="inlineStr">
        <is>
          <t>Oktober</t>
        </is>
      </c>
      <c r="D122" s="23" t="n">
        <v>118</v>
      </c>
      <c r="E122" s="24" t="inlineStr">
        <is>
          <t>Angsuran Mobil</t>
        </is>
      </c>
      <c r="F122" s="24" t="inlineStr">
        <is>
          <t>Angsuran Mobil</t>
        </is>
      </c>
      <c r="G122" s="14" t="inlineStr">
        <is>
          <t>Pengeluaran</t>
        </is>
      </c>
      <c r="H122" s="16" t="n">
        <v>3800000</v>
      </c>
    </row>
    <row r="123">
      <c r="A123" s="10" t="inlineStr">
        <is>
          <t>2024-10</t>
        </is>
      </c>
      <c r="B123" s="20" t="n">
        <v>2024</v>
      </c>
      <c r="C123" s="21" t="inlineStr">
        <is>
          <t>Oktober</t>
        </is>
      </c>
      <c r="D123" s="20" t="n">
        <v>119</v>
      </c>
      <c r="E123" s="21" t="inlineStr">
        <is>
          <t>Suka Cita dan Duka Cita</t>
        </is>
      </c>
      <c r="F123" s="21" t="inlineStr">
        <is>
          <t>Dana Sosial</t>
        </is>
      </c>
      <c r="G123" s="10" t="inlineStr">
        <is>
          <t>Pengeluaran</t>
        </is>
      </c>
      <c r="H123" s="12" t="n">
        <v>300000</v>
      </c>
    </row>
    <row r="124">
      <c r="A124" s="14" t="inlineStr">
        <is>
          <t>2024-10</t>
        </is>
      </c>
      <c r="B124" s="23" t="n">
        <v>2024</v>
      </c>
      <c r="C124" s="24" t="inlineStr">
        <is>
          <t>Oktober</t>
        </is>
      </c>
      <c r="D124" s="23" t="n">
        <v>120</v>
      </c>
      <c r="E124" s="24" t="inlineStr">
        <is>
          <t>Dana pembangunan gedung DPD FSP LEM SPSI</t>
        </is>
      </c>
      <c r="F124" s="24" t="inlineStr">
        <is>
          <t>Pembangunan Gedung</t>
        </is>
      </c>
      <c r="G124" s="14" t="inlineStr">
        <is>
          <t>Pengeluaran</t>
        </is>
      </c>
      <c r="H124" s="16" t="n">
        <v>2500000</v>
      </c>
    </row>
    <row r="125">
      <c r="A125" s="10" t="inlineStr">
        <is>
          <t>2024-11</t>
        </is>
      </c>
      <c r="B125" s="20" t="n">
        <v>2024</v>
      </c>
      <c r="C125" s="21" t="inlineStr">
        <is>
          <t>November</t>
        </is>
      </c>
      <c r="D125" s="20" t="n">
        <v>121</v>
      </c>
      <c r="E125" s="21" t="inlineStr">
        <is>
          <t>Dana COS Anggota Bulan November 2024</t>
        </is>
      </c>
      <c r="F125" s="21" t="inlineStr">
        <is>
          <t>Pemasukan COS</t>
        </is>
      </c>
      <c r="G125" s="10" t="inlineStr">
        <is>
          <t>Pemasukan</t>
        </is>
      </c>
      <c r="H125" s="11" t="n">
        <v>18000000</v>
      </c>
    </row>
    <row r="126">
      <c r="A126" s="14" t="inlineStr">
        <is>
          <t>2024-11</t>
        </is>
      </c>
      <c r="B126" s="23" t="n">
        <v>2024</v>
      </c>
      <c r="C126" s="24" t="inlineStr">
        <is>
          <t>November</t>
        </is>
      </c>
      <c r="D126" s="23" t="n">
        <v>122</v>
      </c>
      <c r="E126" s="24" t="inlineStr">
        <is>
          <t>Setor COS dan akomodasi pengurus</t>
        </is>
      </c>
      <c r="F126" s="24" t="inlineStr">
        <is>
          <t>Setor COS &amp; Pengurus</t>
        </is>
      </c>
      <c r="G126" s="14" t="inlineStr">
        <is>
          <t>Pengeluaran</t>
        </is>
      </c>
      <c r="H126" s="16" t="n">
        <v>9000000</v>
      </c>
    </row>
    <row r="127">
      <c r="A127" s="10" t="inlineStr">
        <is>
          <t>2024-11</t>
        </is>
      </c>
      <c r="B127" s="20" t="n">
        <v>2024</v>
      </c>
      <c r="C127" s="21" t="inlineStr">
        <is>
          <t>November</t>
        </is>
      </c>
      <c r="D127" s="20" t="n">
        <v>123</v>
      </c>
      <c r="E127" s="21" t="inlineStr">
        <is>
          <t>Angsuran Mobil</t>
        </is>
      </c>
      <c r="F127" s="21" t="inlineStr">
        <is>
          <t>Angsuran Mobil</t>
        </is>
      </c>
      <c r="G127" s="10" t="inlineStr">
        <is>
          <t>Pengeluaran</t>
        </is>
      </c>
      <c r="H127" s="12" t="n">
        <v>3800000</v>
      </c>
    </row>
    <row r="128">
      <c r="A128" s="14" t="inlineStr">
        <is>
          <t>2024-11</t>
        </is>
      </c>
      <c r="B128" s="23" t="n">
        <v>2024</v>
      </c>
      <c r="C128" s="24" t="inlineStr">
        <is>
          <t>November</t>
        </is>
      </c>
      <c r="D128" s="23" t="n">
        <v>124</v>
      </c>
      <c r="E128" s="24" t="inlineStr">
        <is>
          <t>Suka Cita dan Duka Cita</t>
        </is>
      </c>
      <c r="F128" s="24" t="inlineStr">
        <is>
          <t>Dana Sosial</t>
        </is>
      </c>
      <c r="G128" s="14" t="inlineStr">
        <is>
          <t>Pengeluaran</t>
        </is>
      </c>
      <c r="H128" s="16" t="n">
        <v>300000</v>
      </c>
    </row>
    <row r="129">
      <c r="A129" s="10" t="inlineStr">
        <is>
          <t>2024-11</t>
        </is>
      </c>
      <c r="B129" s="20" t="n">
        <v>2024</v>
      </c>
      <c r="C129" s="21" t="inlineStr">
        <is>
          <t>November</t>
        </is>
      </c>
      <c r="D129" s="20" t="n">
        <v>125</v>
      </c>
      <c r="E129" s="21" t="inlineStr">
        <is>
          <t>Servis Rutin Mobil PUK</t>
        </is>
      </c>
      <c r="F129" s="21" t="inlineStr">
        <is>
          <t>Kendaraan</t>
        </is>
      </c>
      <c r="G129" s="10" t="inlineStr">
        <is>
          <t>Pengeluaran</t>
        </is>
      </c>
      <c r="H129" s="12" t="n">
        <v>1500000</v>
      </c>
    </row>
    <row r="130">
      <c r="A130" s="14" t="inlineStr">
        <is>
          <t>2024-11</t>
        </is>
      </c>
      <c r="B130" s="23" t="n">
        <v>2024</v>
      </c>
      <c r="C130" s="24" t="inlineStr">
        <is>
          <t>November</t>
        </is>
      </c>
      <c r="D130" s="23" t="n">
        <v>126</v>
      </c>
      <c r="E130" s="24" t="inlineStr">
        <is>
          <t>Ganti ban mobil</t>
        </is>
      </c>
      <c r="F130" s="24" t="inlineStr">
        <is>
          <t>Kendaraan</t>
        </is>
      </c>
      <c r="G130" s="14" t="inlineStr">
        <is>
          <t>Pengeluaran</t>
        </is>
      </c>
      <c r="H130" s="16" t="n">
        <v>2700000</v>
      </c>
    </row>
    <row r="131">
      <c r="A131" s="10" t="inlineStr">
        <is>
          <t>2024-12</t>
        </is>
      </c>
      <c r="B131" s="20" t="n">
        <v>2024</v>
      </c>
      <c r="C131" s="21" t="inlineStr">
        <is>
          <t>Desember</t>
        </is>
      </c>
      <c r="D131" s="20" t="n">
        <v>127</v>
      </c>
      <c r="E131" s="21" t="inlineStr">
        <is>
          <t>Dana COS Anggota Bulan Desember 2024</t>
        </is>
      </c>
      <c r="F131" s="21" t="inlineStr">
        <is>
          <t>Pemasukan COS</t>
        </is>
      </c>
      <c r="G131" s="10" t="inlineStr">
        <is>
          <t>Pemasukan</t>
        </is>
      </c>
      <c r="H131" s="11" t="n">
        <v>18000000</v>
      </c>
    </row>
    <row r="132">
      <c r="A132" s="14" t="inlineStr">
        <is>
          <t>2024-12</t>
        </is>
      </c>
      <c r="B132" s="23" t="n">
        <v>2024</v>
      </c>
      <c r="C132" s="24" t="inlineStr">
        <is>
          <t>Desember</t>
        </is>
      </c>
      <c r="D132" s="23" t="n">
        <v>128</v>
      </c>
      <c r="E132" s="24" t="inlineStr">
        <is>
          <t>Setor COS dan akomodasi pengurus</t>
        </is>
      </c>
      <c r="F132" s="24" t="inlineStr">
        <is>
          <t>Setor COS &amp; Pengurus</t>
        </is>
      </c>
      <c r="G132" s="14" t="inlineStr">
        <is>
          <t>Pengeluaran</t>
        </is>
      </c>
      <c r="H132" s="16" t="n">
        <v>9000000</v>
      </c>
    </row>
    <row r="133">
      <c r="A133" s="10" t="inlineStr">
        <is>
          <t>2024-12</t>
        </is>
      </c>
      <c r="B133" s="20" t="n">
        <v>2024</v>
      </c>
      <c r="C133" s="21" t="inlineStr">
        <is>
          <t>Desember</t>
        </is>
      </c>
      <c r="D133" s="20" t="n">
        <v>129</v>
      </c>
      <c r="E133" s="21" t="inlineStr">
        <is>
          <t>Angsuran Mobil</t>
        </is>
      </c>
      <c r="F133" s="21" t="inlineStr">
        <is>
          <t>Angsuran Mobil</t>
        </is>
      </c>
      <c r="G133" s="10" t="inlineStr">
        <is>
          <t>Pengeluaran</t>
        </is>
      </c>
      <c r="H133" s="12" t="n">
        <v>3800000</v>
      </c>
    </row>
    <row r="134">
      <c r="A134" s="14" t="inlineStr">
        <is>
          <t>2024-12</t>
        </is>
      </c>
      <c r="B134" s="23" t="n">
        <v>2024</v>
      </c>
      <c r="C134" s="24" t="inlineStr">
        <is>
          <t>Desember</t>
        </is>
      </c>
      <c r="D134" s="23" t="n">
        <v>130</v>
      </c>
      <c r="E134" s="24" t="inlineStr">
        <is>
          <t>Suka Cita dan Duka Cita</t>
        </is>
      </c>
      <c r="F134" s="24" t="inlineStr">
        <is>
          <t>Dana Sosial</t>
        </is>
      </c>
      <c r="G134" s="14" t="inlineStr">
        <is>
          <t>Pengeluaran</t>
        </is>
      </c>
      <c r="H134" s="16" t="n">
        <v>300000</v>
      </c>
    </row>
    <row r="135">
      <c r="A135" s="10" t="inlineStr">
        <is>
          <t>2024-12</t>
        </is>
      </c>
      <c r="B135" s="20" t="n">
        <v>2024</v>
      </c>
      <c r="C135" s="21" t="inlineStr">
        <is>
          <t>Desember</t>
        </is>
      </c>
      <c r="D135" s="20" t="n">
        <v>131</v>
      </c>
      <c r="E135" s="21" t="inlineStr">
        <is>
          <t>Ganti ban mobil</t>
        </is>
      </c>
      <c r="F135" s="21" t="inlineStr">
        <is>
          <t>Kendaraan</t>
        </is>
      </c>
      <c r="G135" s="10" t="inlineStr">
        <is>
          <t>Pengeluaran</t>
        </is>
      </c>
      <c r="H135" s="12" t="n">
        <v>900000</v>
      </c>
    </row>
    <row r="136">
      <c r="A136" s="14" t="inlineStr">
        <is>
          <t>2024-12</t>
        </is>
      </c>
      <c r="B136" s="23" t="n">
        <v>2024</v>
      </c>
      <c r="C136" s="24" t="inlineStr">
        <is>
          <t>Desember</t>
        </is>
      </c>
      <c r="D136" s="23" t="n">
        <v>132</v>
      </c>
      <c r="E136" s="24" t="inlineStr">
        <is>
          <t>Aksi PEMDA</t>
        </is>
      </c>
      <c r="F136" s="24" t="inlineStr">
        <is>
          <t>Aksi &amp; Advokasi</t>
        </is>
      </c>
      <c r="G136" s="14" t="inlineStr">
        <is>
          <t>Pengeluaran</t>
        </is>
      </c>
      <c r="H136" s="16" t="n">
        <v>1500000</v>
      </c>
    </row>
    <row r="137">
      <c r="A137" s="10" t="inlineStr">
        <is>
          <t>2024-12</t>
        </is>
      </c>
      <c r="B137" s="20" t="n">
        <v>2024</v>
      </c>
      <c r="C137" s="21" t="inlineStr">
        <is>
          <t>Desember</t>
        </is>
      </c>
      <c r="D137" s="20" t="n">
        <v>133</v>
      </c>
      <c r="E137" s="21" t="inlineStr">
        <is>
          <t>Aksi PEMPROV</t>
        </is>
      </c>
      <c r="F137" s="21" t="inlineStr">
        <is>
          <t>Aksi &amp; Advokasi</t>
        </is>
      </c>
      <c r="G137" s="10" t="inlineStr">
        <is>
          <t>Pengeluaran</t>
        </is>
      </c>
      <c r="H137" s="12" t="n">
        <v>2000000</v>
      </c>
    </row>
    <row r="138">
      <c r="A138" s="14" t="inlineStr">
        <is>
          <t>2024-12</t>
        </is>
      </c>
      <c r="B138" s="23" t="n">
        <v>2024</v>
      </c>
      <c r="C138" s="24" t="inlineStr">
        <is>
          <t>Desember</t>
        </is>
      </c>
      <c r="D138" s="23" t="n">
        <v>134</v>
      </c>
      <c r="E138" s="24" t="inlineStr">
        <is>
          <t>Servis printer PUK</t>
        </is>
      </c>
      <c r="F138" s="24" t="inlineStr">
        <is>
          <t>Aset &amp; Operasional</t>
        </is>
      </c>
      <c r="G138" s="14" t="inlineStr">
        <is>
          <t>Pengeluaran</t>
        </is>
      </c>
      <c r="H138" s="16" t="n">
        <v>303000</v>
      </c>
    </row>
    <row r="139">
      <c r="A139" s="10" t="inlineStr">
        <is>
          <t>2025-01</t>
        </is>
      </c>
      <c r="B139" s="20" t="n">
        <v>2025</v>
      </c>
      <c r="C139" s="21" t="inlineStr">
        <is>
          <t>Januari</t>
        </is>
      </c>
      <c r="D139" s="20" t="n">
        <v>135</v>
      </c>
      <c r="E139" s="21" t="inlineStr">
        <is>
          <t>Dana COS Anggota Bulan Januari 2025</t>
        </is>
      </c>
      <c r="F139" s="21" t="inlineStr">
        <is>
          <t>Pemasukan COS</t>
        </is>
      </c>
      <c r="G139" s="10" t="inlineStr">
        <is>
          <t>Pemasukan</t>
        </is>
      </c>
      <c r="H139" s="11" t="n">
        <v>18000000</v>
      </c>
    </row>
    <row r="140">
      <c r="A140" s="14" t="inlineStr">
        <is>
          <t>2025-01</t>
        </is>
      </c>
      <c r="B140" s="23" t="n">
        <v>2025</v>
      </c>
      <c r="C140" s="24" t="inlineStr">
        <is>
          <t>Januari</t>
        </is>
      </c>
      <c r="D140" s="23" t="n">
        <v>136</v>
      </c>
      <c r="E140" s="24" t="inlineStr">
        <is>
          <t>Setor COS dan akomodasi pengurus</t>
        </is>
      </c>
      <c r="F140" s="24" t="inlineStr">
        <is>
          <t>Setor COS &amp; Pengurus</t>
        </is>
      </c>
      <c r="G140" s="14" t="inlineStr">
        <is>
          <t>Pengeluaran</t>
        </is>
      </c>
      <c r="H140" s="16" t="n">
        <v>9000000</v>
      </c>
    </row>
    <row r="141">
      <c r="A141" s="10" t="inlineStr">
        <is>
          <t>2025-01</t>
        </is>
      </c>
      <c r="B141" s="20" t="n">
        <v>2025</v>
      </c>
      <c r="C141" s="21" t="inlineStr">
        <is>
          <t>Januari</t>
        </is>
      </c>
      <c r="D141" s="20" t="n">
        <v>137</v>
      </c>
      <c r="E141" s="21" t="inlineStr">
        <is>
          <t>Angsuran Mobil</t>
        </is>
      </c>
      <c r="F141" s="21" t="inlineStr">
        <is>
          <t>Angsuran Mobil</t>
        </is>
      </c>
      <c r="G141" s="10" t="inlineStr">
        <is>
          <t>Pengeluaran</t>
        </is>
      </c>
      <c r="H141" s="12" t="n">
        <v>3800000</v>
      </c>
    </row>
    <row r="142">
      <c r="A142" s="14" t="inlineStr">
        <is>
          <t>2025-01</t>
        </is>
      </c>
      <c r="B142" s="23" t="n">
        <v>2025</v>
      </c>
      <c r="C142" s="24" t="inlineStr">
        <is>
          <t>Januari</t>
        </is>
      </c>
      <c r="D142" s="23" t="n">
        <v>138</v>
      </c>
      <c r="E142" s="24" t="inlineStr">
        <is>
          <t>Sumbangan suka cita dan duka</t>
        </is>
      </c>
      <c r="F142" s="24" t="inlineStr">
        <is>
          <t>Dana Sosial</t>
        </is>
      </c>
      <c r="G142" s="14" t="inlineStr">
        <is>
          <t>Pengeluaran</t>
        </is>
      </c>
      <c r="H142" s="16" t="n">
        <v>300000</v>
      </c>
    </row>
    <row r="143">
      <c r="A143" s="10" t="inlineStr">
        <is>
          <t>2025-01</t>
        </is>
      </c>
      <c r="B143" s="20" t="n">
        <v>2025</v>
      </c>
      <c r="C143" s="21" t="inlineStr">
        <is>
          <t>Januari</t>
        </is>
      </c>
      <c r="D143" s="20" t="n">
        <v>139</v>
      </c>
      <c r="E143" s="21" t="inlineStr">
        <is>
          <t>Kunjungan kerja DPC FSP LEM SPSI</t>
        </is>
      </c>
      <c r="F143" s="21" t="inlineStr">
        <is>
          <t>Kegiatan Organisasi</t>
        </is>
      </c>
      <c r="G143" s="10" t="inlineStr">
        <is>
          <t>Pengeluaran</t>
        </is>
      </c>
      <c r="H143" s="12" t="n">
        <v>500000</v>
      </c>
    </row>
    <row r="144">
      <c r="A144" s="14" t="inlineStr">
        <is>
          <t>2025-02</t>
        </is>
      </c>
      <c r="B144" s="23" t="n">
        <v>2025</v>
      </c>
      <c r="C144" s="24" t="inlineStr">
        <is>
          <t>Februari</t>
        </is>
      </c>
      <c r="D144" s="23" t="n">
        <v>140</v>
      </c>
      <c r="E144" s="24" t="inlineStr">
        <is>
          <t>Dana COS Anggota Bulan Februari 2025</t>
        </is>
      </c>
      <c r="F144" s="24" t="inlineStr">
        <is>
          <t>Pemasukan COS</t>
        </is>
      </c>
      <c r="G144" s="14" t="inlineStr">
        <is>
          <t>Pemasukan</t>
        </is>
      </c>
      <c r="H144" s="15" t="n">
        <v>18000000</v>
      </c>
    </row>
    <row r="145">
      <c r="A145" s="10" t="inlineStr">
        <is>
          <t>2025-02</t>
        </is>
      </c>
      <c r="B145" s="20" t="n">
        <v>2025</v>
      </c>
      <c r="C145" s="21" t="inlineStr">
        <is>
          <t>Februari</t>
        </is>
      </c>
      <c r="D145" s="20" t="n">
        <v>141</v>
      </c>
      <c r="E145" s="21" t="inlineStr">
        <is>
          <t>Setor COS dan akomodasi pengurus</t>
        </is>
      </c>
      <c r="F145" s="21" t="inlineStr">
        <is>
          <t>Setor COS &amp; Pengurus</t>
        </is>
      </c>
      <c r="G145" s="10" t="inlineStr">
        <is>
          <t>Pengeluaran</t>
        </is>
      </c>
      <c r="H145" s="12" t="n">
        <v>9000000</v>
      </c>
    </row>
    <row r="146">
      <c r="A146" s="14" t="inlineStr">
        <is>
          <t>2025-02</t>
        </is>
      </c>
      <c r="B146" s="23" t="n">
        <v>2025</v>
      </c>
      <c r="C146" s="24" t="inlineStr">
        <is>
          <t>Februari</t>
        </is>
      </c>
      <c r="D146" s="23" t="n">
        <v>142</v>
      </c>
      <c r="E146" s="24" t="inlineStr">
        <is>
          <t>Angsuran Mobil</t>
        </is>
      </c>
      <c r="F146" s="24" t="inlineStr">
        <is>
          <t>Angsuran Mobil</t>
        </is>
      </c>
      <c r="G146" s="14" t="inlineStr">
        <is>
          <t>Pengeluaran</t>
        </is>
      </c>
      <c r="H146" s="16" t="n">
        <v>3800000</v>
      </c>
    </row>
    <row r="147">
      <c r="A147" s="10" t="inlineStr">
        <is>
          <t>2025-02</t>
        </is>
      </c>
      <c r="B147" s="20" t="n">
        <v>2025</v>
      </c>
      <c r="C147" s="21" t="inlineStr">
        <is>
          <t>Februari</t>
        </is>
      </c>
      <c r="D147" s="20" t="n">
        <v>143</v>
      </c>
      <c r="E147" s="21" t="inlineStr">
        <is>
          <t>Akomodasi HUT KSPSI Ke 52 - Transport</t>
        </is>
      </c>
      <c r="F147" s="21" t="inlineStr">
        <is>
          <t>Kegiatan Organisasi</t>
        </is>
      </c>
      <c r="G147" s="10" t="inlineStr">
        <is>
          <t>Pengeluaran</t>
        </is>
      </c>
      <c r="H147" s="12" t="n">
        <v>10000000</v>
      </c>
    </row>
    <row r="148">
      <c r="A148" s="14" t="inlineStr">
        <is>
          <t>2025-02</t>
        </is>
      </c>
      <c r="B148" s="23" t="n">
        <v>2025</v>
      </c>
      <c r="C148" s="24" t="inlineStr">
        <is>
          <t>Februari</t>
        </is>
      </c>
      <c r="D148" s="23" t="n">
        <v>144</v>
      </c>
      <c r="E148" s="24" t="inlineStr">
        <is>
          <t>Akomodasi HUT KSPSI Ke 52 - Makan</t>
        </is>
      </c>
      <c r="F148" s="24" t="inlineStr">
        <is>
          <t>Konsumsi &amp; Kegiatan</t>
        </is>
      </c>
      <c r="G148" s="14" t="inlineStr">
        <is>
          <t>Pengeluaran</t>
        </is>
      </c>
      <c r="H148" s="16" t="n">
        <v>1800000</v>
      </c>
    </row>
    <row r="149">
      <c r="A149" s="10" t="inlineStr">
        <is>
          <t>2025-02</t>
        </is>
      </c>
      <c r="B149" s="20" t="n">
        <v>2025</v>
      </c>
      <c r="C149" s="21" t="inlineStr">
        <is>
          <t>Februari</t>
        </is>
      </c>
      <c r="D149" s="20" t="n">
        <v>145</v>
      </c>
      <c r="E149" s="21" t="inlineStr">
        <is>
          <t>Akomodasi BAPOR</t>
        </is>
      </c>
      <c r="F149" s="21" t="inlineStr">
        <is>
          <t>Olahraga &amp; Kegiatan</t>
        </is>
      </c>
      <c r="G149" s="10" t="inlineStr">
        <is>
          <t>Pengeluaran</t>
        </is>
      </c>
      <c r="H149" s="12" t="n">
        <v>1000000</v>
      </c>
    </row>
    <row r="150">
      <c r="A150" s="14" t="inlineStr">
        <is>
          <t>2025-02</t>
        </is>
      </c>
      <c r="B150" s="23" t="n">
        <v>2025</v>
      </c>
      <c r="C150" s="24" t="inlineStr">
        <is>
          <t>Februari</t>
        </is>
      </c>
      <c r="D150" s="23" t="n">
        <v>146</v>
      </c>
      <c r="E150" s="24" t="inlineStr">
        <is>
          <t>Sumbangan suka cita dan duka</t>
        </is>
      </c>
      <c r="F150" s="24" t="inlineStr">
        <is>
          <t>Dana Sosial</t>
        </is>
      </c>
      <c r="G150" s="14" t="inlineStr">
        <is>
          <t>Pengeluaran</t>
        </is>
      </c>
      <c r="H150" s="16" t="n">
        <v>300000</v>
      </c>
    </row>
    <row r="151">
      <c r="A151" s="10" t="inlineStr">
        <is>
          <t>2025-03</t>
        </is>
      </c>
      <c r="B151" s="20" t="n">
        <v>2025</v>
      </c>
      <c r="C151" s="21" t="inlineStr">
        <is>
          <t>Maret</t>
        </is>
      </c>
      <c r="D151" s="20" t="n">
        <v>147</v>
      </c>
      <c r="E151" s="21" t="inlineStr">
        <is>
          <t>Dana COS Anggota Bulan Maret 2025</t>
        </is>
      </c>
      <c r="F151" s="21" t="inlineStr">
        <is>
          <t>Pemasukan COS</t>
        </is>
      </c>
      <c r="G151" s="10" t="inlineStr">
        <is>
          <t>Pemasukan</t>
        </is>
      </c>
      <c r="H151" s="11" t="n">
        <v>18000000</v>
      </c>
    </row>
    <row r="152">
      <c r="A152" s="14" t="inlineStr">
        <is>
          <t>2025-03</t>
        </is>
      </c>
      <c r="B152" s="23" t="n">
        <v>2025</v>
      </c>
      <c r="C152" s="24" t="inlineStr">
        <is>
          <t>Maret</t>
        </is>
      </c>
      <c r="D152" s="23" t="n">
        <v>148</v>
      </c>
      <c r="E152" s="24" t="inlineStr">
        <is>
          <t>Setor COS dan akomodasi pengurus</t>
        </is>
      </c>
      <c r="F152" s="24" t="inlineStr">
        <is>
          <t>Setor COS &amp; Pengurus</t>
        </is>
      </c>
      <c r="G152" s="14" t="inlineStr">
        <is>
          <t>Pengeluaran</t>
        </is>
      </c>
      <c r="H152" s="16" t="n">
        <v>9000000</v>
      </c>
    </row>
    <row r="153">
      <c r="A153" s="10" t="inlineStr">
        <is>
          <t>2025-03</t>
        </is>
      </c>
      <c r="B153" s="20" t="n">
        <v>2025</v>
      </c>
      <c r="C153" s="21" t="inlineStr">
        <is>
          <t>Maret</t>
        </is>
      </c>
      <c r="D153" s="20" t="n">
        <v>149</v>
      </c>
      <c r="E153" s="21" t="inlineStr">
        <is>
          <t>Angsuran Mobil</t>
        </is>
      </c>
      <c r="F153" s="21" t="inlineStr">
        <is>
          <t>Angsuran Mobil</t>
        </is>
      </c>
      <c r="G153" s="10" t="inlineStr">
        <is>
          <t>Pengeluaran</t>
        </is>
      </c>
      <c r="H153" s="12" t="n">
        <v>3800000</v>
      </c>
    </row>
    <row r="154">
      <c r="A154" s="14" t="inlineStr">
        <is>
          <t>2025-03</t>
        </is>
      </c>
      <c r="B154" s="23" t="n">
        <v>2025</v>
      </c>
      <c r="C154" s="24" t="inlineStr">
        <is>
          <t>Maret</t>
        </is>
      </c>
      <c r="D154" s="23" t="n">
        <v>150</v>
      </c>
      <c r="E154" s="24" t="inlineStr">
        <is>
          <t>Sumbangan suka cita dan duka</t>
        </is>
      </c>
      <c r="F154" s="24" t="inlineStr">
        <is>
          <t>Dana Sosial</t>
        </is>
      </c>
      <c r="G154" s="14" t="inlineStr">
        <is>
          <t>Pengeluaran</t>
        </is>
      </c>
      <c r="H154" s="16" t="n">
        <v>300000</v>
      </c>
    </row>
    <row r="155">
      <c r="A155" s="10" t="inlineStr">
        <is>
          <t>2025-03</t>
        </is>
      </c>
      <c r="B155" s="20" t="n">
        <v>2025</v>
      </c>
      <c r="C155" s="21" t="inlineStr">
        <is>
          <t>Maret</t>
        </is>
      </c>
      <c r="D155" s="20" t="n">
        <v>151</v>
      </c>
      <c r="E155" s="21" t="inlineStr">
        <is>
          <t>Mutasi mobil operasional PUK</t>
        </is>
      </c>
      <c r="F155" s="21" t="inlineStr">
        <is>
          <t>Kendaraan</t>
        </is>
      </c>
      <c r="G155" s="10" t="inlineStr">
        <is>
          <t>Pengeluaran</t>
        </is>
      </c>
      <c r="H155" s="12" t="n">
        <v>15000000</v>
      </c>
    </row>
    <row r="156">
      <c r="A156" s="14" t="inlineStr">
        <is>
          <t>2025-03</t>
        </is>
      </c>
      <c r="B156" s="23" t="n">
        <v>2025</v>
      </c>
      <c r="C156" s="24" t="inlineStr">
        <is>
          <t>Maret</t>
        </is>
      </c>
      <c r="D156" s="23" t="n">
        <v>152</v>
      </c>
      <c r="E156" s="24" t="inlineStr">
        <is>
          <t>Bukber PUK dan Manajemen</t>
        </is>
      </c>
      <c r="F156" s="24" t="inlineStr">
        <is>
          <t>Konsumsi &amp; Kegiatan</t>
        </is>
      </c>
      <c r="G156" s="14" t="inlineStr">
        <is>
          <t>Pengeluaran</t>
        </is>
      </c>
      <c r="H156" s="16" t="n">
        <v>3000000</v>
      </c>
    </row>
    <row r="157">
      <c r="A157" s="10" t="inlineStr">
        <is>
          <t>2025-04</t>
        </is>
      </c>
      <c r="B157" s="20" t="n">
        <v>2025</v>
      </c>
      <c r="C157" s="21" t="inlineStr">
        <is>
          <t>April</t>
        </is>
      </c>
      <c r="D157" s="20" t="n">
        <v>153</v>
      </c>
      <c r="E157" s="21" t="inlineStr">
        <is>
          <t>Dana COS Anggota Bulan April 2025</t>
        </is>
      </c>
      <c r="F157" s="21" t="inlineStr">
        <is>
          <t>Pemasukan COS</t>
        </is>
      </c>
      <c r="G157" s="10" t="inlineStr">
        <is>
          <t>Pemasukan</t>
        </is>
      </c>
      <c r="H157" s="11" t="n">
        <v>20250000</v>
      </c>
    </row>
    <row r="158">
      <c r="A158" s="14" t="inlineStr">
        <is>
          <t>2025-04</t>
        </is>
      </c>
      <c r="B158" s="23" t="n">
        <v>2025</v>
      </c>
      <c r="C158" s="24" t="inlineStr">
        <is>
          <t>April</t>
        </is>
      </c>
      <c r="D158" s="23" t="n">
        <v>154</v>
      </c>
      <c r="E158" s="24" t="inlineStr">
        <is>
          <t>Setor COS dan akomodasi pengurus</t>
        </is>
      </c>
      <c r="F158" s="24" t="inlineStr">
        <is>
          <t>Setor COS &amp; Pengurus</t>
        </is>
      </c>
      <c r="G158" s="14" t="inlineStr">
        <is>
          <t>Pengeluaran</t>
        </is>
      </c>
      <c r="H158" s="16" t="n">
        <v>10125000</v>
      </c>
    </row>
    <row r="159">
      <c r="A159" s="10" t="inlineStr">
        <is>
          <t>2025-04</t>
        </is>
      </c>
      <c r="B159" s="20" t="n">
        <v>2025</v>
      </c>
      <c r="C159" s="21" t="inlineStr">
        <is>
          <t>April</t>
        </is>
      </c>
      <c r="D159" s="20" t="n">
        <v>155</v>
      </c>
      <c r="E159" s="21" t="inlineStr">
        <is>
          <t>Agenda pertemuan Pleno</t>
        </is>
      </c>
      <c r="F159" s="21" t="inlineStr">
        <is>
          <t>Kegiatan Organisasi</t>
        </is>
      </c>
      <c r="G159" s="10" t="inlineStr">
        <is>
          <t>Pengeluaran</t>
        </is>
      </c>
      <c r="H159" s="12" t="n">
        <v>5000000</v>
      </c>
    </row>
    <row r="160">
      <c r="A160" s="14" t="inlineStr">
        <is>
          <t>2025-04</t>
        </is>
      </c>
      <c r="B160" s="23" t="n">
        <v>2025</v>
      </c>
      <c r="C160" s="24" t="inlineStr">
        <is>
          <t>April</t>
        </is>
      </c>
      <c r="D160" s="23" t="n">
        <v>156</v>
      </c>
      <c r="E160" s="24" t="inlineStr">
        <is>
          <t>Angsuran Mobil</t>
        </is>
      </c>
      <c r="F160" s="24" t="inlineStr">
        <is>
          <t>Angsuran Mobil</t>
        </is>
      </c>
      <c r="G160" s="14" t="inlineStr">
        <is>
          <t>Pengeluaran</t>
        </is>
      </c>
      <c r="H160" s="16" t="n">
        <v>3800000</v>
      </c>
    </row>
    <row r="161">
      <c r="A161" s="10" t="inlineStr">
        <is>
          <t>2025-04</t>
        </is>
      </c>
      <c r="B161" s="20" t="n">
        <v>2025</v>
      </c>
      <c r="C161" s="21" t="inlineStr">
        <is>
          <t>April</t>
        </is>
      </c>
      <c r="D161" s="20" t="n">
        <v>157</v>
      </c>
      <c r="E161" s="21" t="inlineStr">
        <is>
          <t>Pembuatan kaos anggota 50 pcs</t>
        </is>
      </c>
      <c r="F161" s="21" t="inlineStr">
        <is>
          <t>Perlengkapan &amp; Atribut</t>
        </is>
      </c>
      <c r="G161" s="10" t="inlineStr">
        <is>
          <t>Pengeluaran</t>
        </is>
      </c>
      <c r="H161" s="12" t="n">
        <v>3000000</v>
      </c>
    </row>
    <row r="162">
      <c r="A162" s="14" t="inlineStr">
        <is>
          <t>2025-04</t>
        </is>
      </c>
      <c r="B162" s="23" t="n">
        <v>2025</v>
      </c>
      <c r="C162" s="24" t="inlineStr">
        <is>
          <t>April</t>
        </is>
      </c>
      <c r="D162" s="23" t="n">
        <v>158</v>
      </c>
      <c r="E162" s="24" t="inlineStr">
        <is>
          <t>Sumbangan suka cita dan duka</t>
        </is>
      </c>
      <c r="F162" s="24" t="inlineStr">
        <is>
          <t>Dana Sosial</t>
        </is>
      </c>
      <c r="G162" s="14" t="inlineStr">
        <is>
          <t>Pengeluaran</t>
        </is>
      </c>
      <c r="H162" s="16" t="n">
        <v>300000</v>
      </c>
    </row>
    <row r="163">
      <c r="A163" s="10" t="inlineStr">
        <is>
          <t>2025-05</t>
        </is>
      </c>
      <c r="B163" s="20" t="n">
        <v>2025</v>
      </c>
      <c r="C163" s="21" t="inlineStr">
        <is>
          <t>Mei</t>
        </is>
      </c>
      <c r="D163" s="20" t="n">
        <v>159</v>
      </c>
      <c r="E163" s="21" t="inlineStr">
        <is>
          <t>Dana COS Anggota Bulan Mei 2025</t>
        </is>
      </c>
      <c r="F163" s="21" t="inlineStr">
        <is>
          <t>Pemasukan COS</t>
        </is>
      </c>
      <c r="G163" s="10" t="inlineStr">
        <is>
          <t>Pemasukan</t>
        </is>
      </c>
      <c r="H163" s="11" t="n">
        <v>20250000</v>
      </c>
    </row>
    <row r="164">
      <c r="A164" s="14" t="inlineStr">
        <is>
          <t>2025-05</t>
        </is>
      </c>
      <c r="B164" s="23" t="n">
        <v>2025</v>
      </c>
      <c r="C164" s="24" t="inlineStr">
        <is>
          <t>Mei</t>
        </is>
      </c>
      <c r="D164" s="23" t="n">
        <v>160</v>
      </c>
      <c r="E164" s="24" t="inlineStr">
        <is>
          <t>Setor COS dan akomodasi pengurus</t>
        </is>
      </c>
      <c r="F164" s="24" t="inlineStr">
        <is>
          <t>Setor COS &amp; Pengurus</t>
        </is>
      </c>
      <c r="G164" s="14" t="inlineStr">
        <is>
          <t>Pengeluaran</t>
        </is>
      </c>
      <c r="H164" s="16" t="n">
        <v>10125000</v>
      </c>
    </row>
    <row r="165">
      <c r="A165" s="10" t="inlineStr">
        <is>
          <t>2025-05</t>
        </is>
      </c>
      <c r="B165" s="20" t="n">
        <v>2025</v>
      </c>
      <c r="C165" s="21" t="inlineStr">
        <is>
          <t>Mei</t>
        </is>
      </c>
      <c r="D165" s="20" t="n">
        <v>161</v>
      </c>
      <c r="E165" s="21" t="inlineStr">
        <is>
          <t>Angsuran Mobil</t>
        </is>
      </c>
      <c r="F165" s="21" t="inlineStr">
        <is>
          <t>Angsuran Mobil</t>
        </is>
      </c>
      <c r="G165" s="10" t="inlineStr">
        <is>
          <t>Pengeluaran</t>
        </is>
      </c>
      <c r="H165" s="12" t="n">
        <v>3800000</v>
      </c>
    </row>
    <row r="166">
      <c r="A166" s="14" t="inlineStr">
        <is>
          <t>2025-05</t>
        </is>
      </c>
      <c r="B166" s="23" t="n">
        <v>2025</v>
      </c>
      <c r="C166" s="24" t="inlineStr">
        <is>
          <t>Mei</t>
        </is>
      </c>
      <c r="D166" s="23" t="n">
        <v>162</v>
      </c>
      <c r="E166" s="24" t="inlineStr">
        <is>
          <t>Sumbangan Duka dan suka Cita</t>
        </is>
      </c>
      <c r="F166" s="24" t="inlineStr">
        <is>
          <t>Dana Sosial</t>
        </is>
      </c>
      <c r="G166" s="14" t="inlineStr">
        <is>
          <t>Pengeluaran</t>
        </is>
      </c>
      <c r="H166" s="16" t="n">
        <v>300000</v>
      </c>
    </row>
    <row r="167">
      <c r="A167" s="10" t="inlineStr">
        <is>
          <t>2025-05</t>
        </is>
      </c>
      <c r="B167" s="20" t="n">
        <v>2025</v>
      </c>
      <c r="C167" s="21" t="inlineStr">
        <is>
          <t>Mei</t>
        </is>
      </c>
      <c r="D167" s="20" t="n">
        <v>163</v>
      </c>
      <c r="E167" s="21" t="inlineStr">
        <is>
          <t>Akomodasi May Day</t>
        </is>
      </c>
      <c r="F167" s="21" t="inlineStr">
        <is>
          <t>May Day</t>
        </is>
      </c>
      <c r="G167" s="10" t="inlineStr">
        <is>
          <t>Pengeluaran</t>
        </is>
      </c>
      <c r="H167" s="12" t="n">
        <v>5000000</v>
      </c>
    </row>
    <row r="168">
      <c r="A168" s="14" t="inlineStr">
        <is>
          <t>2025-06</t>
        </is>
      </c>
      <c r="B168" s="23" t="n">
        <v>2025</v>
      </c>
      <c r="C168" s="24" t="inlineStr">
        <is>
          <t>Juni</t>
        </is>
      </c>
      <c r="D168" s="23" t="n">
        <v>164</v>
      </c>
      <c r="E168" s="24" t="inlineStr">
        <is>
          <t>Dana COS Anggota Bulan Juni 2025</t>
        </is>
      </c>
      <c r="F168" s="24" t="inlineStr">
        <is>
          <t>Pemasukan COS</t>
        </is>
      </c>
      <c r="G168" s="14" t="inlineStr">
        <is>
          <t>Pemasukan</t>
        </is>
      </c>
      <c r="H168" s="15" t="n">
        <v>20250000</v>
      </c>
    </row>
    <row r="169">
      <c r="A169" s="10" t="inlineStr">
        <is>
          <t>2025-06</t>
        </is>
      </c>
      <c r="B169" s="20" t="n">
        <v>2025</v>
      </c>
      <c r="C169" s="21" t="inlineStr">
        <is>
          <t>Juni</t>
        </is>
      </c>
      <c r="D169" s="20" t="n">
        <v>165</v>
      </c>
      <c r="E169" s="21" t="inlineStr">
        <is>
          <t>Setor COS dan akomodasi pengurus</t>
        </is>
      </c>
      <c r="F169" s="21" t="inlineStr">
        <is>
          <t>Setor COS &amp; Pengurus</t>
        </is>
      </c>
      <c r="G169" s="10" t="inlineStr">
        <is>
          <t>Pengeluaran</t>
        </is>
      </c>
      <c r="H169" s="12" t="n">
        <v>10125000</v>
      </c>
    </row>
    <row r="170">
      <c r="A170" s="14" t="inlineStr">
        <is>
          <t>2025-06</t>
        </is>
      </c>
      <c r="B170" s="23" t="n">
        <v>2025</v>
      </c>
      <c r="C170" s="24" t="inlineStr">
        <is>
          <t>Juni</t>
        </is>
      </c>
      <c r="D170" s="23" t="n">
        <v>166</v>
      </c>
      <c r="E170" s="24" t="inlineStr">
        <is>
          <t>Angsuran Mobil</t>
        </is>
      </c>
      <c r="F170" s="24" t="inlineStr">
        <is>
          <t>Angsuran Mobil</t>
        </is>
      </c>
      <c r="G170" s="14" t="inlineStr">
        <is>
          <t>Pengeluaran</t>
        </is>
      </c>
      <c r="H170" s="16" t="n">
        <v>3800000</v>
      </c>
    </row>
    <row r="171">
      <c r="A171" s="10" t="inlineStr">
        <is>
          <t>2025-06</t>
        </is>
      </c>
      <c r="B171" s="20" t="n">
        <v>2025</v>
      </c>
      <c r="C171" s="21" t="inlineStr">
        <is>
          <t>Juni</t>
        </is>
      </c>
      <c r="D171" s="20" t="n">
        <v>167</v>
      </c>
      <c r="E171" s="21" t="inlineStr">
        <is>
          <t>Pembuatan Jersey futsal 15 pcs</t>
        </is>
      </c>
      <c r="F171" s="21" t="inlineStr">
        <is>
          <t>Perlengkapan &amp; Atribut</t>
        </is>
      </c>
      <c r="G171" s="10" t="inlineStr">
        <is>
          <t>Pengeluaran</t>
        </is>
      </c>
      <c r="H171" s="12" t="n">
        <v>1500000</v>
      </c>
    </row>
    <row r="172">
      <c r="A172" s="14" t="inlineStr">
        <is>
          <t>2025-06</t>
        </is>
      </c>
      <c r="B172" s="23" t="n">
        <v>2025</v>
      </c>
      <c r="C172" s="24" t="inlineStr">
        <is>
          <t>Juni</t>
        </is>
      </c>
      <c r="D172" s="23" t="n">
        <v>168</v>
      </c>
      <c r="E172" s="24" t="inlineStr">
        <is>
          <t>Suka Cita dan Duka Cita</t>
        </is>
      </c>
      <c r="F172" s="24" t="inlineStr">
        <is>
          <t>Dana Sosial</t>
        </is>
      </c>
      <c r="G172" s="14" t="inlineStr">
        <is>
          <t>Pengeluaran</t>
        </is>
      </c>
      <c r="H172" s="16" t="n">
        <v>300000</v>
      </c>
    </row>
    <row r="173">
      <c r="A173" s="10" t="inlineStr">
        <is>
          <t>2025-06</t>
        </is>
      </c>
      <c r="B173" s="20" t="n">
        <v>2025</v>
      </c>
      <c r="C173" s="21" t="inlineStr">
        <is>
          <t>Juni</t>
        </is>
      </c>
      <c r="D173" s="20" t="n">
        <v>169</v>
      </c>
      <c r="E173" s="21" t="inlineStr">
        <is>
          <t>Service mobil PUK</t>
        </is>
      </c>
      <c r="F173" s="21" t="inlineStr">
        <is>
          <t>Kendaraan</t>
        </is>
      </c>
      <c r="G173" s="10" t="inlineStr">
        <is>
          <t>Pengeluaran</t>
        </is>
      </c>
      <c r="H173" s="12" t="n">
        <v>1000000</v>
      </c>
    </row>
    <row r="174">
      <c r="A174" s="14" t="inlineStr">
        <is>
          <t>2025-07</t>
        </is>
      </c>
      <c r="B174" s="23" t="n">
        <v>2025</v>
      </c>
      <c r="C174" s="24" t="inlineStr">
        <is>
          <t>Juli</t>
        </is>
      </c>
      <c r="D174" s="23" t="n">
        <v>170</v>
      </c>
      <c r="E174" s="24" t="inlineStr">
        <is>
          <t>Dana COS Anggota Bulan Juli 2025</t>
        </is>
      </c>
      <c r="F174" s="24" t="inlineStr">
        <is>
          <t>Pemasukan COS</t>
        </is>
      </c>
      <c r="G174" s="14" t="inlineStr">
        <is>
          <t>Pemasukan</t>
        </is>
      </c>
      <c r="H174" s="15" t="n">
        <v>20250000</v>
      </c>
    </row>
    <row r="175">
      <c r="A175" s="10" t="inlineStr">
        <is>
          <t>2025-07</t>
        </is>
      </c>
      <c r="B175" s="20" t="n">
        <v>2025</v>
      </c>
      <c r="C175" s="21" t="inlineStr">
        <is>
          <t>Juli</t>
        </is>
      </c>
      <c r="D175" s="20" t="n">
        <v>171</v>
      </c>
      <c r="E175" s="21" t="inlineStr">
        <is>
          <t>Setor COS dan akomodasi pengurus</t>
        </is>
      </c>
      <c r="F175" s="21" t="inlineStr">
        <is>
          <t>Setor COS &amp; Pengurus</t>
        </is>
      </c>
      <c r="G175" s="10" t="inlineStr">
        <is>
          <t>Pengeluaran</t>
        </is>
      </c>
      <c r="H175" s="12" t="n">
        <v>10125000</v>
      </c>
    </row>
    <row r="176">
      <c r="A176" s="14" t="inlineStr">
        <is>
          <t>2025-07</t>
        </is>
      </c>
      <c r="B176" s="23" t="n">
        <v>2025</v>
      </c>
      <c r="C176" s="24" t="inlineStr">
        <is>
          <t>Juli</t>
        </is>
      </c>
      <c r="D176" s="23" t="n">
        <v>172</v>
      </c>
      <c r="E176" s="24" t="inlineStr">
        <is>
          <t>Angsuran Mobil</t>
        </is>
      </c>
      <c r="F176" s="24" t="inlineStr">
        <is>
          <t>Angsuran Mobil</t>
        </is>
      </c>
      <c r="G176" s="14" t="inlineStr">
        <is>
          <t>Pengeluaran</t>
        </is>
      </c>
      <c r="H176" s="16" t="n">
        <v>3800000</v>
      </c>
    </row>
    <row r="177">
      <c r="A177" s="10" t="inlineStr">
        <is>
          <t>2025-07</t>
        </is>
      </c>
      <c r="B177" s="20" t="n">
        <v>2025</v>
      </c>
      <c r="C177" s="21" t="inlineStr">
        <is>
          <t>Juli</t>
        </is>
      </c>
      <c r="D177" s="20" t="n">
        <v>173</v>
      </c>
      <c r="E177" s="21" t="inlineStr">
        <is>
          <t>Suka Cita dan Duka Cita</t>
        </is>
      </c>
      <c r="F177" s="21" t="inlineStr">
        <is>
          <t>Dana Sosial</t>
        </is>
      </c>
      <c r="G177" s="10" t="inlineStr">
        <is>
          <t>Pengeluaran</t>
        </is>
      </c>
      <c r="H177" s="12" t="n">
        <v>300000</v>
      </c>
    </row>
    <row r="178">
      <c r="A178" s="14" t="inlineStr">
        <is>
          <t>2025-07</t>
        </is>
      </c>
      <c r="B178" s="23" t="n">
        <v>2025</v>
      </c>
      <c r="C178" s="24" t="inlineStr">
        <is>
          <t>Juli</t>
        </is>
      </c>
      <c r="D178" s="23" t="n">
        <v>174</v>
      </c>
      <c r="E178" s="24" t="inlineStr">
        <is>
          <t>Pajak Mobil PUK</t>
        </is>
      </c>
      <c r="F178" s="24" t="inlineStr">
        <is>
          <t>Kendaraan</t>
        </is>
      </c>
      <c r="G178" s="14" t="inlineStr">
        <is>
          <t>Pengeluaran</t>
        </is>
      </c>
      <c r="H178" s="16" t="n">
        <v>4000000</v>
      </c>
    </row>
    <row r="179">
      <c r="A179" s="10" t="inlineStr">
        <is>
          <t>2025-08</t>
        </is>
      </c>
      <c r="B179" s="20" t="n">
        <v>2025</v>
      </c>
      <c r="C179" s="21" t="inlineStr">
        <is>
          <t>Agustus</t>
        </is>
      </c>
      <c r="D179" s="20" t="n">
        <v>175</v>
      </c>
      <c r="E179" s="21" t="inlineStr">
        <is>
          <t>Dana COS Anggota Bulan Agustus 2025</t>
        </is>
      </c>
      <c r="F179" s="21" t="inlineStr">
        <is>
          <t>Pemasukan COS</t>
        </is>
      </c>
      <c r="G179" s="10" t="inlineStr">
        <is>
          <t>Pemasukan</t>
        </is>
      </c>
      <c r="H179" s="11" t="n">
        <v>20250000</v>
      </c>
    </row>
    <row r="180">
      <c r="A180" s="14" t="inlineStr">
        <is>
          <t>2025-08</t>
        </is>
      </c>
      <c r="B180" s="23" t="n">
        <v>2025</v>
      </c>
      <c r="C180" s="24" t="inlineStr">
        <is>
          <t>Agustus</t>
        </is>
      </c>
      <c r="D180" s="23" t="n">
        <v>176</v>
      </c>
      <c r="E180" s="24" t="inlineStr">
        <is>
          <t>Setor COS dan akomodasi pengurus</t>
        </is>
      </c>
      <c r="F180" s="24" t="inlineStr">
        <is>
          <t>Setor COS &amp; Pengurus</t>
        </is>
      </c>
      <c r="G180" s="14" t="inlineStr">
        <is>
          <t>Pengeluaran</t>
        </is>
      </c>
      <c r="H180" s="16" t="n">
        <v>10125000</v>
      </c>
    </row>
    <row r="181">
      <c r="A181" s="10" t="inlineStr">
        <is>
          <t>2025-08</t>
        </is>
      </c>
      <c r="B181" s="20" t="n">
        <v>2025</v>
      </c>
      <c r="C181" s="21" t="inlineStr">
        <is>
          <t>Agustus</t>
        </is>
      </c>
      <c r="D181" s="20" t="n">
        <v>177</v>
      </c>
      <c r="E181" s="21" t="inlineStr">
        <is>
          <t>Angsuran Mobil</t>
        </is>
      </c>
      <c r="F181" s="21" t="inlineStr">
        <is>
          <t>Angsuran Mobil</t>
        </is>
      </c>
      <c r="G181" s="10" t="inlineStr">
        <is>
          <t>Pengeluaran</t>
        </is>
      </c>
      <c r="H181" s="12" t="n">
        <v>3800000</v>
      </c>
    </row>
    <row r="182">
      <c r="A182" s="14" t="inlineStr">
        <is>
          <t>2025-08</t>
        </is>
      </c>
      <c r="B182" s="23" t="n">
        <v>2025</v>
      </c>
      <c r="C182" s="24" t="inlineStr">
        <is>
          <t>Agustus</t>
        </is>
      </c>
      <c r="D182" s="23" t="n">
        <v>178</v>
      </c>
      <c r="E182" s="24" t="inlineStr">
        <is>
          <t>Suka Cita dan Duka Cita</t>
        </is>
      </c>
      <c r="F182" s="24" t="inlineStr">
        <is>
          <t>Dana Sosial</t>
        </is>
      </c>
      <c r="G182" s="14" t="inlineStr">
        <is>
          <t>Pengeluaran</t>
        </is>
      </c>
      <c r="H182" s="16" t="n">
        <v>300000</v>
      </c>
    </row>
    <row r="183">
      <c r="A183" s="10" t="inlineStr">
        <is>
          <t>2025-08</t>
        </is>
      </c>
      <c r="B183" s="20" t="n">
        <v>2025</v>
      </c>
      <c r="C183" s="21" t="inlineStr">
        <is>
          <t>Agustus</t>
        </is>
      </c>
      <c r="D183" s="20" t="n">
        <v>179</v>
      </c>
      <c r="E183" s="21" t="inlineStr">
        <is>
          <t>Konsolidasi Pleno dan mancing</t>
        </is>
      </c>
      <c r="F183" s="21" t="inlineStr">
        <is>
          <t>Olahraga &amp; Kegiatan</t>
        </is>
      </c>
      <c r="G183" s="10" t="inlineStr">
        <is>
          <t>Pengeluaran</t>
        </is>
      </c>
      <c r="H183" s="12" t="n">
        <v>5000000</v>
      </c>
    </row>
    <row r="184">
      <c r="A184" s="14" t="inlineStr">
        <is>
          <t>2025-09</t>
        </is>
      </c>
      <c r="B184" s="23" t="n">
        <v>2025</v>
      </c>
      <c r="C184" s="24" t="inlineStr">
        <is>
          <t>September</t>
        </is>
      </c>
      <c r="D184" s="23" t="n">
        <v>180</v>
      </c>
      <c r="E184" s="24" t="inlineStr">
        <is>
          <t>Dana COS Anggota Bulan September 2025</t>
        </is>
      </c>
      <c r="F184" s="24" t="inlineStr">
        <is>
          <t>Pemasukan COS</t>
        </is>
      </c>
      <c r="G184" s="14" t="inlineStr">
        <is>
          <t>Pemasukan</t>
        </is>
      </c>
      <c r="H184" s="15" t="n">
        <v>20250000</v>
      </c>
    </row>
    <row r="185">
      <c r="A185" s="10" t="inlineStr">
        <is>
          <t>2025-09</t>
        </is>
      </c>
      <c r="B185" s="20" t="n">
        <v>2025</v>
      </c>
      <c r="C185" s="21" t="inlineStr">
        <is>
          <t>September</t>
        </is>
      </c>
      <c r="D185" s="20" t="n">
        <v>181</v>
      </c>
      <c r="E185" s="21" t="inlineStr">
        <is>
          <t>Setor COS dan akomodasi pengurus</t>
        </is>
      </c>
      <c r="F185" s="21" t="inlineStr">
        <is>
          <t>Setor COS &amp; Pengurus</t>
        </is>
      </c>
      <c r="G185" s="10" t="inlineStr">
        <is>
          <t>Pengeluaran</t>
        </is>
      </c>
      <c r="H185" s="12" t="n">
        <v>10125000</v>
      </c>
    </row>
    <row r="186">
      <c r="A186" s="14" t="inlineStr">
        <is>
          <t>2025-09</t>
        </is>
      </c>
      <c r="B186" s="23" t="n">
        <v>2025</v>
      </c>
      <c r="C186" s="24" t="inlineStr">
        <is>
          <t>September</t>
        </is>
      </c>
      <c r="D186" s="23" t="n">
        <v>182</v>
      </c>
      <c r="E186" s="24" t="inlineStr">
        <is>
          <t>Angsuran Mobil</t>
        </is>
      </c>
      <c r="F186" s="24" t="inlineStr">
        <is>
          <t>Angsuran Mobil</t>
        </is>
      </c>
      <c r="G186" s="14" t="inlineStr">
        <is>
          <t>Pengeluaran</t>
        </is>
      </c>
      <c r="H186" s="16" t="n">
        <v>3800000</v>
      </c>
    </row>
    <row r="187">
      <c r="A187" s="10" t="inlineStr">
        <is>
          <t>2025-09</t>
        </is>
      </c>
      <c r="B187" s="20" t="n">
        <v>2025</v>
      </c>
      <c r="C187" s="21" t="inlineStr">
        <is>
          <t>September</t>
        </is>
      </c>
      <c r="D187" s="20" t="n">
        <v>183</v>
      </c>
      <c r="E187" s="21" t="inlineStr">
        <is>
          <t>Suka Cita dan Duka Cita</t>
        </is>
      </c>
      <c r="F187" s="21" t="inlineStr">
        <is>
          <t>Dana Sosial</t>
        </is>
      </c>
      <c r="G187" s="10" t="inlineStr">
        <is>
          <t>Pengeluaran</t>
        </is>
      </c>
      <c r="H187" s="12" t="n">
        <v>300000</v>
      </c>
    </row>
    <row r="188">
      <c r="A188" s="14" t="inlineStr">
        <is>
          <t>2025-10</t>
        </is>
      </c>
      <c r="B188" s="23" t="n">
        <v>2025</v>
      </c>
      <c r="C188" s="24" t="inlineStr">
        <is>
          <t>Oktober</t>
        </is>
      </c>
      <c r="D188" s="23" t="n">
        <v>184</v>
      </c>
      <c r="E188" s="24" t="inlineStr">
        <is>
          <t>Dana COS Anggota Bulan Oktober 2025</t>
        </is>
      </c>
      <c r="F188" s="24" t="inlineStr">
        <is>
          <t>Pemasukan COS</t>
        </is>
      </c>
      <c r="G188" s="14" t="inlineStr">
        <is>
          <t>Pemasukan</t>
        </is>
      </c>
      <c r="H188" s="15" t="n">
        <v>20250000</v>
      </c>
    </row>
    <row r="189">
      <c r="A189" s="10" t="inlineStr">
        <is>
          <t>2025-10</t>
        </is>
      </c>
      <c r="B189" s="20" t="n">
        <v>2025</v>
      </c>
      <c r="C189" s="21" t="inlineStr">
        <is>
          <t>Oktober</t>
        </is>
      </c>
      <c r="D189" s="20" t="n">
        <v>185</v>
      </c>
      <c r="E189" s="21" t="inlineStr">
        <is>
          <t>Setor COS dan akomodasi pengurus</t>
        </is>
      </c>
      <c r="F189" s="21" t="inlineStr">
        <is>
          <t>Setor COS &amp; Pengurus</t>
        </is>
      </c>
      <c r="G189" s="10" t="inlineStr">
        <is>
          <t>Pengeluaran</t>
        </is>
      </c>
      <c r="H189" s="12" t="n">
        <v>10125000</v>
      </c>
    </row>
    <row r="190">
      <c r="A190" s="14" t="inlineStr">
        <is>
          <t>2025-10</t>
        </is>
      </c>
      <c r="B190" s="23" t="n">
        <v>2025</v>
      </c>
      <c r="C190" s="24" t="inlineStr">
        <is>
          <t>Oktober</t>
        </is>
      </c>
      <c r="D190" s="23" t="n">
        <v>186</v>
      </c>
      <c r="E190" s="24" t="inlineStr">
        <is>
          <t>Angsuran Mobil</t>
        </is>
      </c>
      <c r="F190" s="24" t="inlineStr">
        <is>
          <t>Angsuran Mobil</t>
        </is>
      </c>
      <c r="G190" s="14" t="inlineStr">
        <is>
          <t>Pengeluaran</t>
        </is>
      </c>
      <c r="H190" s="16" t="n">
        <v>3800000</v>
      </c>
    </row>
    <row r="191">
      <c r="A191" s="10" t="inlineStr">
        <is>
          <t>2025-10</t>
        </is>
      </c>
      <c r="B191" s="20" t="n">
        <v>2025</v>
      </c>
      <c r="C191" s="21" t="inlineStr">
        <is>
          <t>Oktober</t>
        </is>
      </c>
      <c r="D191" s="20" t="n">
        <v>187</v>
      </c>
      <c r="E191" s="21" t="inlineStr">
        <is>
          <t>Suka Cita dan Duka Cita</t>
        </is>
      </c>
      <c r="F191" s="21" t="inlineStr">
        <is>
          <t>Dana Sosial</t>
        </is>
      </c>
      <c r="G191" s="10" t="inlineStr">
        <is>
          <t>Pengeluaran</t>
        </is>
      </c>
      <c r="H191" s="12" t="n">
        <v>300000</v>
      </c>
    </row>
    <row r="192">
      <c r="A192" s="14" t="inlineStr">
        <is>
          <t>2025-11</t>
        </is>
      </c>
      <c r="B192" s="23" t="n">
        <v>2025</v>
      </c>
      <c r="C192" s="24" t="inlineStr">
        <is>
          <t>November</t>
        </is>
      </c>
      <c r="D192" s="23" t="n">
        <v>188</v>
      </c>
      <c r="E192" s="24" t="inlineStr">
        <is>
          <t>Dana COS Anggota Bulan November 2025</t>
        </is>
      </c>
      <c r="F192" s="24" t="inlineStr">
        <is>
          <t>Pemasukan COS</t>
        </is>
      </c>
      <c r="G192" s="14" t="inlineStr">
        <is>
          <t>Pemasukan</t>
        </is>
      </c>
      <c r="H192" s="15" t="n">
        <v>20250000</v>
      </c>
    </row>
    <row r="193">
      <c r="A193" s="10" t="inlineStr">
        <is>
          <t>2025-11</t>
        </is>
      </c>
      <c r="B193" s="20" t="n">
        <v>2025</v>
      </c>
      <c r="C193" s="21" t="inlineStr">
        <is>
          <t>November</t>
        </is>
      </c>
      <c r="D193" s="20" t="n">
        <v>189</v>
      </c>
      <c r="E193" s="21" t="inlineStr">
        <is>
          <t>Setor COS dan akomodasi pengurus</t>
        </is>
      </c>
      <c r="F193" s="21" t="inlineStr">
        <is>
          <t>Setor COS &amp; Pengurus</t>
        </is>
      </c>
      <c r="G193" s="10" t="inlineStr">
        <is>
          <t>Pengeluaran</t>
        </is>
      </c>
      <c r="H193" s="12" t="n">
        <v>10125000</v>
      </c>
    </row>
    <row r="194">
      <c r="A194" s="14" t="inlineStr">
        <is>
          <t>2025-11</t>
        </is>
      </c>
      <c r="B194" s="23" t="n">
        <v>2025</v>
      </c>
      <c r="C194" s="24" t="inlineStr">
        <is>
          <t>November</t>
        </is>
      </c>
      <c r="D194" s="23" t="n">
        <v>190</v>
      </c>
      <c r="E194" s="24" t="inlineStr">
        <is>
          <t>Angsuran Mobil</t>
        </is>
      </c>
      <c r="F194" s="24" t="inlineStr">
        <is>
          <t>Angsuran Mobil</t>
        </is>
      </c>
      <c r="G194" s="14" t="inlineStr">
        <is>
          <t>Pengeluaran</t>
        </is>
      </c>
      <c r="H194" s="16" t="n">
        <v>3800000</v>
      </c>
    </row>
    <row r="195">
      <c r="A195" s="10" t="inlineStr">
        <is>
          <t>2025-11</t>
        </is>
      </c>
      <c r="B195" s="20" t="n">
        <v>2025</v>
      </c>
      <c r="C195" s="21" t="inlineStr">
        <is>
          <t>November</t>
        </is>
      </c>
      <c r="D195" s="20" t="n">
        <v>191</v>
      </c>
      <c r="E195" s="21" t="inlineStr">
        <is>
          <t>Suka Cita dan Duka Cita</t>
        </is>
      </c>
      <c r="F195" s="21" t="inlineStr">
        <is>
          <t>Dana Sosial</t>
        </is>
      </c>
      <c r="G195" s="10" t="inlineStr">
        <is>
          <t>Pengeluaran</t>
        </is>
      </c>
      <c r="H195" s="12" t="n">
        <v>300000</v>
      </c>
    </row>
    <row r="196">
      <c r="A196" s="14" t="inlineStr">
        <is>
          <t>2025-12</t>
        </is>
      </c>
      <c r="B196" s="23" t="n">
        <v>2025</v>
      </c>
      <c r="C196" s="24" t="inlineStr">
        <is>
          <t>Desember</t>
        </is>
      </c>
      <c r="D196" s="23" t="n">
        <v>192</v>
      </c>
      <c r="E196" s="24" t="inlineStr">
        <is>
          <t>Dana COS Anggota Bulan Desember 2025</t>
        </is>
      </c>
      <c r="F196" s="24" t="inlineStr">
        <is>
          <t>Pemasukan COS</t>
        </is>
      </c>
      <c r="G196" s="14" t="inlineStr">
        <is>
          <t>Pemasukan</t>
        </is>
      </c>
      <c r="H196" s="15" t="n">
        <v>20250000</v>
      </c>
    </row>
    <row r="197">
      <c r="A197" s="10" t="inlineStr">
        <is>
          <t>2025-12</t>
        </is>
      </c>
      <c r="B197" s="20" t="n">
        <v>2025</v>
      </c>
      <c r="C197" s="21" t="inlineStr">
        <is>
          <t>Desember</t>
        </is>
      </c>
      <c r="D197" s="20" t="n">
        <v>193</v>
      </c>
      <c r="E197" s="21" t="inlineStr">
        <is>
          <t>Setor COS dan akomodasi pengurus</t>
        </is>
      </c>
      <c r="F197" s="21" t="inlineStr">
        <is>
          <t>Setor COS &amp; Pengurus</t>
        </is>
      </c>
      <c r="G197" s="10" t="inlineStr">
        <is>
          <t>Pengeluaran</t>
        </is>
      </c>
      <c r="H197" s="12" t="n">
        <v>10125000</v>
      </c>
    </row>
    <row r="198">
      <c r="A198" s="14" t="inlineStr">
        <is>
          <t>2025-12</t>
        </is>
      </c>
      <c r="B198" s="23" t="n">
        <v>2025</v>
      </c>
      <c r="C198" s="24" t="inlineStr">
        <is>
          <t>Desember</t>
        </is>
      </c>
      <c r="D198" s="23" t="n">
        <v>194</v>
      </c>
      <c r="E198" s="24" t="inlineStr">
        <is>
          <t>Angsuran Mobil</t>
        </is>
      </c>
      <c r="F198" s="24" t="inlineStr">
        <is>
          <t>Angsuran Mobil</t>
        </is>
      </c>
      <c r="G198" s="14" t="inlineStr">
        <is>
          <t>Pengeluaran</t>
        </is>
      </c>
      <c r="H198" s="16" t="n">
        <v>3800000</v>
      </c>
    </row>
    <row r="199">
      <c r="A199" s="10" t="inlineStr">
        <is>
          <t>2025-12</t>
        </is>
      </c>
      <c r="B199" s="20" t="n">
        <v>2025</v>
      </c>
      <c r="C199" s="21" t="inlineStr">
        <is>
          <t>Desember</t>
        </is>
      </c>
      <c r="D199" s="20" t="n">
        <v>195</v>
      </c>
      <c r="E199" s="21" t="inlineStr">
        <is>
          <t>Suka Cita dan Duka Cita</t>
        </is>
      </c>
      <c r="F199" s="21" t="inlineStr">
        <is>
          <t>Dana Sosial</t>
        </is>
      </c>
      <c r="G199" s="10" t="inlineStr">
        <is>
          <t>Pengeluaran</t>
        </is>
      </c>
      <c r="H199" s="12" t="n">
        <v>300000</v>
      </c>
    </row>
    <row r="200">
      <c r="A200" s="14" t="inlineStr">
        <is>
          <t>2025-12</t>
        </is>
      </c>
      <c r="B200" s="23" t="n">
        <v>2025</v>
      </c>
      <c r="C200" s="24" t="inlineStr">
        <is>
          <t>Desember</t>
        </is>
      </c>
      <c r="D200" s="23" t="n">
        <v>196</v>
      </c>
      <c r="E200" s="24" t="inlineStr">
        <is>
          <t>Pemberian penghargaan karyawan absensi terbaik</t>
        </is>
      </c>
      <c r="F200" s="24" t="inlineStr">
        <is>
          <t>Penghargaan Karyawan</t>
        </is>
      </c>
      <c r="G200" s="14" t="inlineStr">
        <is>
          <t>Pengeluaran</t>
        </is>
      </c>
      <c r="H200" s="16" t="n">
        <v>3500000</v>
      </c>
    </row>
    <row r="201">
      <c r="A201" s="10" t="inlineStr">
        <is>
          <t>2025-12</t>
        </is>
      </c>
      <c r="B201" s="20" t="n">
        <v>2025</v>
      </c>
      <c r="C201" s="21" t="inlineStr">
        <is>
          <t>Desember</t>
        </is>
      </c>
      <c r="D201" s="20" t="n">
        <v>197</v>
      </c>
      <c r="E201" s="21" t="inlineStr">
        <is>
          <t>Akomodasi dan biaya MUSCAB DPC FSP LEM SPSI</t>
        </is>
      </c>
      <c r="F201" s="21" t="inlineStr">
        <is>
          <t>Kegiatan Organisasi</t>
        </is>
      </c>
      <c r="G201" s="10" t="inlineStr">
        <is>
          <t>Pengeluaran</t>
        </is>
      </c>
      <c r="H201" s="12" t="n">
        <v>10850000</v>
      </c>
    </row>
    <row r="202">
      <c r="A202" s="14" t="inlineStr">
        <is>
          <t>2026-01</t>
        </is>
      </c>
      <c r="B202" s="23" t="n">
        <v>2026</v>
      </c>
      <c r="C202" s="24" t="inlineStr">
        <is>
          <t>Januari</t>
        </is>
      </c>
      <c r="D202" s="23" t="n">
        <v>198</v>
      </c>
      <c r="E202" s="24" t="inlineStr">
        <is>
          <t>Dana COS Anggota Bulan Januari 2026</t>
        </is>
      </c>
      <c r="F202" s="24" t="inlineStr">
        <is>
          <t>Pemasukan COS</t>
        </is>
      </c>
      <c r="G202" s="14" t="inlineStr">
        <is>
          <t>Pemasukan</t>
        </is>
      </c>
      <c r="H202" s="15" t="n">
        <v>20250000</v>
      </c>
    </row>
    <row r="203">
      <c r="A203" s="10" t="inlineStr">
        <is>
          <t>2026-01</t>
        </is>
      </c>
      <c r="B203" s="20" t="n">
        <v>2026</v>
      </c>
      <c r="C203" s="21" t="inlineStr">
        <is>
          <t>Januari</t>
        </is>
      </c>
      <c r="D203" s="20" t="n">
        <v>199</v>
      </c>
      <c r="E203" s="21" t="inlineStr">
        <is>
          <t>Setor COS dan akomodasi pengurus</t>
        </is>
      </c>
      <c r="F203" s="21" t="inlineStr">
        <is>
          <t>Setor COS &amp; Pengurus</t>
        </is>
      </c>
      <c r="G203" s="10" t="inlineStr">
        <is>
          <t>Pengeluaran</t>
        </is>
      </c>
      <c r="H203" s="12" t="n">
        <v>10125000</v>
      </c>
    </row>
    <row r="204">
      <c r="A204" s="14" t="inlineStr">
        <is>
          <t>2026-01</t>
        </is>
      </c>
      <c r="B204" s="23" t="n">
        <v>2026</v>
      </c>
      <c r="C204" s="24" t="inlineStr">
        <is>
          <t>Januari</t>
        </is>
      </c>
      <c r="D204" s="23" t="n">
        <v>200</v>
      </c>
      <c r="E204" s="24" t="inlineStr">
        <is>
          <t>Angsuran Mobil</t>
        </is>
      </c>
      <c r="F204" s="24" t="inlineStr">
        <is>
          <t>Angsuran Mobil</t>
        </is>
      </c>
      <c r="G204" s="14" t="inlineStr">
        <is>
          <t>Pengeluaran</t>
        </is>
      </c>
      <c r="H204" s="16" t="n">
        <v>3800000</v>
      </c>
    </row>
    <row r="205">
      <c r="A205" s="10" t="inlineStr">
        <is>
          <t>2026-01</t>
        </is>
      </c>
      <c r="B205" s="20" t="n">
        <v>2026</v>
      </c>
      <c r="C205" s="21" t="inlineStr">
        <is>
          <t>Januari</t>
        </is>
      </c>
      <c r="D205" s="20" t="n">
        <v>201</v>
      </c>
      <c r="E205" s="21" t="inlineStr">
        <is>
          <t>Suka Cita dan Duka Cita</t>
        </is>
      </c>
      <c r="F205" s="21" t="inlineStr">
        <is>
          <t>Dana Sosial</t>
        </is>
      </c>
      <c r="G205" s="10" t="inlineStr">
        <is>
          <t>Pengeluaran</t>
        </is>
      </c>
      <c r="H205" s="12" t="n">
        <v>300000</v>
      </c>
    </row>
    <row r="206">
      <c r="A206" s="14" t="inlineStr">
        <is>
          <t>2026-01</t>
        </is>
      </c>
      <c r="B206" s="23" t="n">
        <v>2026</v>
      </c>
      <c r="C206" s="24" t="inlineStr">
        <is>
          <t>Januari</t>
        </is>
      </c>
      <c r="D206" s="23" t="n">
        <v>202</v>
      </c>
      <c r="E206" s="24" t="inlineStr">
        <is>
          <t>Akomodasi aksi upah 2026 Pemda Karawang</t>
        </is>
      </c>
      <c r="F206" s="24" t="inlineStr">
        <is>
          <t>Aksi &amp; Advokasi</t>
        </is>
      </c>
      <c r="G206" s="14" t="inlineStr">
        <is>
          <t>Pengeluaran</t>
        </is>
      </c>
      <c r="H206" s="16" t="n">
        <v>1000000</v>
      </c>
    </row>
    <row r="207">
      <c r="A207" s="10" t="inlineStr">
        <is>
          <t>2026-01</t>
        </is>
      </c>
      <c r="B207" s="20" t="n">
        <v>2026</v>
      </c>
      <c r="C207" s="21" t="inlineStr">
        <is>
          <t>Januari</t>
        </is>
      </c>
      <c r="D207" s="20" t="n">
        <v>203</v>
      </c>
      <c r="E207" s="21" t="inlineStr">
        <is>
          <t>Akomodasi aksi Upah 2026 Bandung 2 kali</t>
        </is>
      </c>
      <c r="F207" s="21" t="inlineStr">
        <is>
          <t>Aksi &amp; Advokasi</t>
        </is>
      </c>
      <c r="G207" s="10" t="inlineStr">
        <is>
          <t>Pengeluaran</t>
        </is>
      </c>
      <c r="H207" s="12" t="n">
        <v>3200000</v>
      </c>
    </row>
    <row r="208">
      <c r="A208" s="14" t="inlineStr">
        <is>
          <t>2026-01</t>
        </is>
      </c>
      <c r="B208" s="23" t="n">
        <v>2026</v>
      </c>
      <c r="C208" s="24" t="inlineStr">
        <is>
          <t>Januari</t>
        </is>
      </c>
      <c r="D208" s="23" t="n">
        <v>204</v>
      </c>
      <c r="E208" s="24" t="inlineStr">
        <is>
          <t>Dana konsolidasi gugatan upah 2026</t>
        </is>
      </c>
      <c r="F208" s="24" t="inlineStr">
        <is>
          <t>Aksi &amp; Advokasi</t>
        </is>
      </c>
      <c r="G208" s="14" t="inlineStr">
        <is>
          <t>Pengeluaran</t>
        </is>
      </c>
      <c r="H208" s="16" t="n">
        <v>4000000</v>
      </c>
    </row>
    <row r="209">
      <c r="A209" s="10" t="inlineStr">
        <is>
          <t>2026-02</t>
        </is>
      </c>
      <c r="B209" s="20" t="n">
        <v>2026</v>
      </c>
      <c r="C209" s="21" t="inlineStr">
        <is>
          <t>Februari</t>
        </is>
      </c>
      <c r="D209" s="20" t="n">
        <v>205</v>
      </c>
      <c r="E209" s="21" t="inlineStr">
        <is>
          <t>Dana COS Anggota Bulan Februari 2026</t>
        </is>
      </c>
      <c r="F209" s="21" t="inlineStr">
        <is>
          <t>Pemasukan COS</t>
        </is>
      </c>
      <c r="G209" s="10" t="inlineStr">
        <is>
          <t>Pemasukan</t>
        </is>
      </c>
      <c r="H209" s="11" t="n">
        <v>20250000</v>
      </c>
    </row>
    <row r="210">
      <c r="A210" s="14" t="inlineStr">
        <is>
          <t>2026-02</t>
        </is>
      </c>
      <c r="B210" s="23" t="n">
        <v>2026</v>
      </c>
      <c r="C210" s="24" t="inlineStr">
        <is>
          <t>Februari</t>
        </is>
      </c>
      <c r="D210" s="23" t="n">
        <v>206</v>
      </c>
      <c r="E210" s="24" t="inlineStr">
        <is>
          <t>Setor COS dan akomodasi pengurus</t>
        </is>
      </c>
      <c r="F210" s="24" t="inlineStr">
        <is>
          <t>Setor COS &amp; Pengurus</t>
        </is>
      </c>
      <c r="G210" s="14" t="inlineStr">
        <is>
          <t>Pengeluaran</t>
        </is>
      </c>
      <c r="H210" s="16" t="n">
        <v>10125000</v>
      </c>
    </row>
    <row r="211">
      <c r="A211" s="10" t="inlineStr">
        <is>
          <t>2026-02</t>
        </is>
      </c>
      <c r="B211" s="20" t="n">
        <v>2026</v>
      </c>
      <c r="C211" s="21" t="inlineStr">
        <is>
          <t>Februari</t>
        </is>
      </c>
      <c r="D211" s="20" t="n">
        <v>207</v>
      </c>
      <c r="E211" s="21" t="inlineStr">
        <is>
          <t>Angsuran Mobil</t>
        </is>
      </c>
      <c r="F211" s="21" t="inlineStr">
        <is>
          <t>Angsuran Mobil</t>
        </is>
      </c>
      <c r="G211" s="10" t="inlineStr">
        <is>
          <t>Pengeluaran</t>
        </is>
      </c>
      <c r="H211" s="12" t="n">
        <v>3800000</v>
      </c>
    </row>
    <row r="212">
      <c r="A212" s="14" t="inlineStr">
        <is>
          <t>2026-02</t>
        </is>
      </c>
      <c r="B212" s="23" t="n">
        <v>2026</v>
      </c>
      <c r="C212" s="24" t="inlineStr">
        <is>
          <t>Februari</t>
        </is>
      </c>
      <c r="D212" s="23" t="n">
        <v>208</v>
      </c>
      <c r="E212" s="24" t="inlineStr">
        <is>
          <t>Suka Cita dan Duka Cita</t>
        </is>
      </c>
      <c r="F212" s="24" t="inlineStr">
        <is>
          <t>Dana Sosial</t>
        </is>
      </c>
      <c r="G212" s="14" t="inlineStr">
        <is>
          <t>Pengeluaran</t>
        </is>
      </c>
      <c r="H212" s="16" t="n">
        <v>300000</v>
      </c>
    </row>
    <row r="213">
      <c r="A213" s="10" t="inlineStr">
        <is>
          <t>2026-02</t>
        </is>
      </c>
      <c r="B213" s="20" t="n">
        <v>2026</v>
      </c>
      <c r="C213" s="21" t="inlineStr">
        <is>
          <t>Februari</t>
        </is>
      </c>
      <c r="D213" s="20" t="n">
        <v>209</v>
      </c>
      <c r="E213" s="21" t="inlineStr">
        <is>
          <t>Konsolidasi Pleno dan mancing bersama</t>
        </is>
      </c>
      <c r="F213" s="21" t="inlineStr">
        <is>
          <t>Olahraga &amp; Kegiatan</t>
        </is>
      </c>
      <c r="G213" s="10" t="inlineStr">
        <is>
          <t>Pengeluaran</t>
        </is>
      </c>
      <c r="H213" s="12" t="n">
        <v>5000000</v>
      </c>
    </row>
    <row r="214">
      <c r="A214" s="14" t="inlineStr">
        <is>
          <t>2026-02</t>
        </is>
      </c>
      <c r="B214" s="23" t="n">
        <v>2026</v>
      </c>
      <c r="C214" s="24" t="inlineStr">
        <is>
          <t>Februari</t>
        </is>
      </c>
      <c r="D214" s="23" t="n">
        <v>210</v>
      </c>
      <c r="E214" s="24" t="inlineStr">
        <is>
          <t>Sumbangan partisipasi Futsal anggota</t>
        </is>
      </c>
      <c r="F214" s="24" t="inlineStr">
        <is>
          <t>Olahraga &amp; Kegiatan</t>
        </is>
      </c>
      <c r="G214" s="14" t="inlineStr">
        <is>
          <t>Pengeluaran</t>
        </is>
      </c>
      <c r="H214" s="16" t="n">
        <v>600000</v>
      </c>
    </row>
    <row r="215">
      <c r="A215" s="10" t="inlineStr">
        <is>
          <t>2026-03</t>
        </is>
      </c>
      <c r="B215" s="20" t="n">
        <v>2026</v>
      </c>
      <c r="C215" s="21" t="inlineStr">
        <is>
          <t>Maret</t>
        </is>
      </c>
      <c r="D215" s="20" t="n">
        <v>211</v>
      </c>
      <c r="E215" s="21" t="inlineStr">
        <is>
          <t>Dana COS Anggota Bulan Maret 2026</t>
        </is>
      </c>
      <c r="F215" s="21" t="inlineStr">
        <is>
          <t>Pemasukan COS</t>
        </is>
      </c>
      <c r="G215" s="10" t="inlineStr">
        <is>
          <t>Pemasukan</t>
        </is>
      </c>
      <c r="H215" s="11" t="n">
        <v>20250000</v>
      </c>
    </row>
    <row r="216">
      <c r="A216" s="14" t="inlineStr">
        <is>
          <t>2026-03</t>
        </is>
      </c>
      <c r="B216" s="23" t="n">
        <v>2026</v>
      </c>
      <c r="C216" s="24" t="inlineStr">
        <is>
          <t>Maret</t>
        </is>
      </c>
      <c r="D216" s="23" t="n">
        <v>212</v>
      </c>
      <c r="E216" s="24" t="inlineStr">
        <is>
          <t>Setor COS dan akomodasi pengurus</t>
        </is>
      </c>
      <c r="F216" s="24" t="inlineStr">
        <is>
          <t>Setor COS &amp; Pengurus</t>
        </is>
      </c>
      <c r="G216" s="14" t="inlineStr">
        <is>
          <t>Pengeluaran</t>
        </is>
      </c>
      <c r="H216" s="16" t="n">
        <v>10125000</v>
      </c>
    </row>
    <row r="217">
      <c r="A217" s="10" t="inlineStr">
        <is>
          <t>2026-03</t>
        </is>
      </c>
      <c r="B217" s="20" t="n">
        <v>2026</v>
      </c>
      <c r="C217" s="21" t="inlineStr">
        <is>
          <t>Maret</t>
        </is>
      </c>
      <c r="D217" s="20" t="n">
        <v>213</v>
      </c>
      <c r="E217" s="21" t="inlineStr">
        <is>
          <t>Angsuran Mobil</t>
        </is>
      </c>
      <c r="F217" s="21" t="inlineStr">
        <is>
          <t>Angsuran Mobil</t>
        </is>
      </c>
      <c r="G217" s="10" t="inlineStr">
        <is>
          <t>Pengeluaran</t>
        </is>
      </c>
      <c r="H217" s="12" t="n">
        <v>3800000</v>
      </c>
    </row>
    <row r="218">
      <c r="A218" s="14" t="inlineStr">
        <is>
          <t>2026-03</t>
        </is>
      </c>
      <c r="B218" s="23" t="n">
        <v>2026</v>
      </c>
      <c r="C218" s="24" t="inlineStr">
        <is>
          <t>Maret</t>
        </is>
      </c>
      <c r="D218" s="23" t="n">
        <v>214</v>
      </c>
      <c r="E218" s="24" t="inlineStr">
        <is>
          <t>Suka cita dan duka cita</t>
        </is>
      </c>
      <c r="F218" s="24" t="inlineStr">
        <is>
          <t>Dana Sosial</t>
        </is>
      </c>
      <c r="G218" s="14" t="inlineStr">
        <is>
          <t>Pengeluaran</t>
        </is>
      </c>
      <c r="H218" s="16" t="n">
        <v>300000</v>
      </c>
    </row>
    <row r="219">
      <c r="A219" s="10" t="inlineStr">
        <is>
          <t>2026-03</t>
        </is>
      </c>
      <c r="B219" s="20" t="n">
        <v>2026</v>
      </c>
      <c r="C219" s="21" t="inlineStr">
        <is>
          <t>Maret</t>
        </is>
      </c>
      <c r="D219" s="20" t="n">
        <v>215</v>
      </c>
      <c r="E219" s="21" t="inlineStr">
        <is>
          <t>Penggantian laptop perusahaan</t>
        </is>
      </c>
      <c r="F219" s="21" t="inlineStr">
        <is>
          <t>Aset &amp; Operasional</t>
        </is>
      </c>
      <c r="G219" s="10" t="inlineStr">
        <is>
          <t>Pengeluaran</t>
        </is>
      </c>
      <c r="H219" s="12" t="n">
        <v>4000000</v>
      </c>
    </row>
    <row r="220">
      <c r="A220" s="14" t="inlineStr">
        <is>
          <t>2026-03</t>
        </is>
      </c>
      <c r="B220" s="23" t="n">
        <v>2026</v>
      </c>
      <c r="C220" s="24" t="inlineStr">
        <is>
          <t>Maret</t>
        </is>
      </c>
      <c r="D220" s="23" t="n">
        <v>216</v>
      </c>
      <c r="E220" s="24" t="inlineStr">
        <is>
          <t>Perbaikan kaca mobil PUK</t>
        </is>
      </c>
      <c r="F220" s="24" t="inlineStr">
        <is>
          <t>Kendaraan</t>
        </is>
      </c>
      <c r="G220" s="14" t="inlineStr">
        <is>
          <t>Pengeluaran</t>
        </is>
      </c>
      <c r="H220" s="16" t="n">
        <v>1600000</v>
      </c>
    </row>
    <row r="221">
      <c r="A221" s="10" t="inlineStr">
        <is>
          <t>2026-04</t>
        </is>
      </c>
      <c r="B221" s="20" t="n">
        <v>2026</v>
      </c>
      <c r="C221" s="21" t="inlineStr">
        <is>
          <t>April</t>
        </is>
      </c>
      <c r="D221" s="20" t="n">
        <v>217</v>
      </c>
      <c r="E221" s="21" t="inlineStr">
        <is>
          <t>Dana COS Anggota Bulan April 2026</t>
        </is>
      </c>
      <c r="F221" s="21" t="inlineStr">
        <is>
          <t>Pemasukan COS</t>
        </is>
      </c>
      <c r="G221" s="10" t="inlineStr">
        <is>
          <t>Pemasukan</t>
        </is>
      </c>
      <c r="H221" s="11" t="n">
        <v>20250000</v>
      </c>
    </row>
    <row r="222">
      <c r="A222" s="14" t="inlineStr">
        <is>
          <t>2026-04</t>
        </is>
      </c>
      <c r="B222" s="23" t="n">
        <v>2026</v>
      </c>
      <c r="C222" s="24" t="inlineStr">
        <is>
          <t>April</t>
        </is>
      </c>
      <c r="D222" s="23" t="n">
        <v>218</v>
      </c>
      <c r="E222" s="24" t="inlineStr">
        <is>
          <t>Setor COS dan akomodasi pengurus</t>
        </is>
      </c>
      <c r="F222" s="24" t="inlineStr">
        <is>
          <t>Setor COS &amp; Pengurus</t>
        </is>
      </c>
      <c r="G222" s="14" t="inlineStr">
        <is>
          <t>Pengeluaran</t>
        </is>
      </c>
      <c r="H222" s="16" t="n">
        <v>10125000</v>
      </c>
    </row>
    <row r="223">
      <c r="A223" s="10" t="inlineStr">
        <is>
          <t>2026-04</t>
        </is>
      </c>
      <c r="B223" s="20" t="n">
        <v>2026</v>
      </c>
      <c r="C223" s="21" t="inlineStr">
        <is>
          <t>April</t>
        </is>
      </c>
      <c r="D223" s="20" t="n">
        <v>219</v>
      </c>
      <c r="E223" s="21" t="inlineStr">
        <is>
          <t>Angsuran Mobil</t>
        </is>
      </c>
      <c r="F223" s="21" t="inlineStr">
        <is>
          <t>Angsuran Mobil</t>
        </is>
      </c>
      <c r="G223" s="10" t="inlineStr">
        <is>
          <t>Pengeluaran</t>
        </is>
      </c>
      <c r="H223" s="12" t="n">
        <v>3800000</v>
      </c>
    </row>
    <row r="224">
      <c r="A224" s="14" t="inlineStr">
        <is>
          <t>2026-04</t>
        </is>
      </c>
      <c r="B224" s="23" t="n">
        <v>2026</v>
      </c>
      <c r="C224" s="24" t="inlineStr">
        <is>
          <t>April</t>
        </is>
      </c>
      <c r="D224" s="23" t="n">
        <v>220</v>
      </c>
      <c r="E224" s="24" t="inlineStr">
        <is>
          <t>Suka Cita dan Duka Cita</t>
        </is>
      </c>
      <c r="F224" s="24" t="inlineStr">
        <is>
          <t>Dana Sosial</t>
        </is>
      </c>
      <c r="G224" s="14" t="inlineStr">
        <is>
          <t>Pengeluaran</t>
        </is>
      </c>
      <c r="H224" s="16" t="n">
        <v>300000</v>
      </c>
    </row>
    <row r="225">
      <c r="A225" s="10" t="inlineStr">
        <is>
          <t>2026-05</t>
        </is>
      </c>
      <c r="B225" s="20" t="n">
        <v>2026</v>
      </c>
      <c r="C225" s="21" t="inlineStr">
        <is>
          <t>Mei</t>
        </is>
      </c>
      <c r="D225" s="20" t="n">
        <v>221</v>
      </c>
      <c r="E225" s="21" t="inlineStr">
        <is>
          <t>Dana COS Anggota Bulan Mei 2026</t>
        </is>
      </c>
      <c r="F225" s="21" t="inlineStr">
        <is>
          <t>Pemasukan COS</t>
        </is>
      </c>
      <c r="G225" s="10" t="inlineStr">
        <is>
          <t>Pemasukan</t>
        </is>
      </c>
      <c r="H225" s="11" t="n">
        <v>20250000</v>
      </c>
    </row>
    <row r="226">
      <c r="A226" s="14" t="inlineStr">
        <is>
          <t>2026-05</t>
        </is>
      </c>
      <c r="B226" s="23" t="n">
        <v>2026</v>
      </c>
      <c r="C226" s="24" t="inlineStr">
        <is>
          <t>Mei</t>
        </is>
      </c>
      <c r="D226" s="23" t="n">
        <v>222</v>
      </c>
      <c r="E226" s="24" t="inlineStr">
        <is>
          <t>Setor COS dan akomodasi pengurus</t>
        </is>
      </c>
      <c r="F226" s="24" t="inlineStr">
        <is>
          <t>Setor COS &amp; Pengurus</t>
        </is>
      </c>
      <c r="G226" s="14" t="inlineStr">
        <is>
          <t>Pengeluaran</t>
        </is>
      </c>
      <c r="H226" s="16" t="n">
        <v>10125000</v>
      </c>
    </row>
    <row r="227">
      <c r="A227" s="10" t="inlineStr">
        <is>
          <t>2026-05</t>
        </is>
      </c>
      <c r="B227" s="20" t="n">
        <v>2026</v>
      </c>
      <c r="C227" s="21" t="inlineStr">
        <is>
          <t>Mei</t>
        </is>
      </c>
      <c r="D227" s="20" t="n">
        <v>223</v>
      </c>
      <c r="E227" s="21" t="inlineStr">
        <is>
          <t>Angsuran Mobil</t>
        </is>
      </c>
      <c r="F227" s="21" t="inlineStr">
        <is>
          <t>Angsuran Mobil</t>
        </is>
      </c>
      <c r="G227" s="10" t="inlineStr">
        <is>
          <t>Pengeluaran</t>
        </is>
      </c>
      <c r="H227" s="12" t="n">
        <v>3800000</v>
      </c>
    </row>
    <row r="228">
      <c r="A228" s="14" t="inlineStr">
        <is>
          <t>2026-05</t>
        </is>
      </c>
      <c r="B228" s="23" t="n">
        <v>2026</v>
      </c>
      <c r="C228" s="24" t="inlineStr">
        <is>
          <t>Mei</t>
        </is>
      </c>
      <c r="D228" s="23" t="n">
        <v>224</v>
      </c>
      <c r="E228" s="24" t="inlineStr">
        <is>
          <t>Suka cita dan duka cita</t>
        </is>
      </c>
      <c r="F228" s="24" t="inlineStr">
        <is>
          <t>Dana Sosial</t>
        </is>
      </c>
      <c r="G228" s="14" t="inlineStr">
        <is>
          <t>Pengeluaran</t>
        </is>
      </c>
      <c r="H228" s="16" t="n">
        <v>300000</v>
      </c>
    </row>
    <row r="229">
      <c r="A229" s="10" t="inlineStr">
        <is>
          <t>2026-05</t>
        </is>
      </c>
      <c r="B229" s="20" t="n">
        <v>2026</v>
      </c>
      <c r="C229" s="21" t="inlineStr">
        <is>
          <t>Mei</t>
        </is>
      </c>
      <c r="D229" s="20" t="n">
        <v>225</v>
      </c>
      <c r="E229" s="21" t="inlineStr">
        <is>
          <t>Akomodasi transport dan makan May Day 2026</t>
        </is>
      </c>
      <c r="F229" s="21" t="inlineStr">
        <is>
          <t>May Day</t>
        </is>
      </c>
      <c r="G229" s="10" t="inlineStr">
        <is>
          <t>Pengeluaran</t>
        </is>
      </c>
      <c r="H229" s="12" t="n">
        <v>15870000</v>
      </c>
    </row>
    <row r="230">
      <c r="A230" s="14" t="inlineStr">
        <is>
          <t>2026-06</t>
        </is>
      </c>
      <c r="B230" s="23" t="n">
        <v>2026</v>
      </c>
      <c r="C230" s="24" t="inlineStr">
        <is>
          <t>Juni</t>
        </is>
      </c>
      <c r="D230" s="23" t="n">
        <v>226</v>
      </c>
      <c r="E230" s="24" t="inlineStr">
        <is>
          <t>Dana COS Anggota Bulan Juni 2026</t>
        </is>
      </c>
      <c r="F230" s="24" t="inlineStr">
        <is>
          <t>Pemasukan COS</t>
        </is>
      </c>
      <c r="G230" s="14" t="inlineStr">
        <is>
          <t>Pemasukan</t>
        </is>
      </c>
      <c r="H230" s="15" t="n">
        <v>20250000</v>
      </c>
    </row>
    <row r="231">
      <c r="A231" s="10" t="inlineStr">
        <is>
          <t>2026-06</t>
        </is>
      </c>
      <c r="B231" s="20" t="n">
        <v>2026</v>
      </c>
      <c r="C231" s="21" t="inlineStr">
        <is>
          <t>Juni</t>
        </is>
      </c>
      <c r="D231" s="20" t="n">
        <v>227</v>
      </c>
      <c r="E231" s="21" t="inlineStr">
        <is>
          <t>Setor COS dan akomodasi pengurus</t>
        </is>
      </c>
      <c r="F231" s="21" t="inlineStr">
        <is>
          <t>Setor COS &amp; Pengurus</t>
        </is>
      </c>
      <c r="G231" s="10" t="inlineStr">
        <is>
          <t>Pengeluaran</t>
        </is>
      </c>
      <c r="H231" s="12" t="n">
        <v>9000000</v>
      </c>
    </row>
    <row r="232">
      <c r="A232" s="14" t="inlineStr">
        <is>
          <t>2026-06</t>
        </is>
      </c>
      <c r="B232" s="23" t="n">
        <v>2026</v>
      </c>
      <c r="C232" s="24" t="inlineStr">
        <is>
          <t>Juni</t>
        </is>
      </c>
      <c r="D232" s="23" t="n">
        <v>228</v>
      </c>
      <c r="E232" s="24" t="inlineStr">
        <is>
          <t>Setor COS TSCUF</t>
        </is>
      </c>
      <c r="F232" s="24" t="inlineStr">
        <is>
          <t>Setor COS TSCUF</t>
        </is>
      </c>
      <c r="G232" s="14" t="inlineStr">
        <is>
          <t>Pengeluaran</t>
        </is>
      </c>
      <c r="H232" s="16" t="n">
        <v>300000</v>
      </c>
    </row>
    <row r="233">
      <c r="A233" s="10" t="inlineStr">
        <is>
          <t>2026-06</t>
        </is>
      </c>
      <c r="B233" s="20" t="n">
        <v>2026</v>
      </c>
      <c r="C233" s="21" t="inlineStr">
        <is>
          <t>Juni</t>
        </is>
      </c>
      <c r="D233" s="20" t="n">
        <v>229</v>
      </c>
      <c r="E233" s="21" t="inlineStr">
        <is>
          <t>Angsuran Mobil</t>
        </is>
      </c>
      <c r="F233" s="21" t="inlineStr">
        <is>
          <t>Angsuran Mobil</t>
        </is>
      </c>
      <c r="G233" s="10" t="inlineStr">
        <is>
          <t>Pengeluaran</t>
        </is>
      </c>
      <c r="H233" s="12" t="n">
        <v>3800000</v>
      </c>
    </row>
    <row r="234">
      <c r="A234" s="14" t="inlineStr">
        <is>
          <t>2026-06</t>
        </is>
      </c>
      <c r="B234" s="23" t="n">
        <v>2026</v>
      </c>
      <c r="C234" s="24" t="inlineStr">
        <is>
          <t>Juni</t>
        </is>
      </c>
      <c r="D234" s="23" t="n">
        <v>230</v>
      </c>
      <c r="E234" s="24" t="inlineStr">
        <is>
          <t>Dana suka cita dan duka cita</t>
        </is>
      </c>
      <c r="F234" s="24" t="inlineStr">
        <is>
          <t>Dana Sosial</t>
        </is>
      </c>
      <c r="G234" s="14" t="inlineStr">
        <is>
          <t>Pengeluaran</t>
        </is>
      </c>
      <c r="H234" s="16" t="n">
        <v>300000</v>
      </c>
    </row>
    <row r="235">
      <c r="A235" s="10" t="inlineStr">
        <is>
          <t>2026-06</t>
        </is>
      </c>
      <c r="B235" s="20" t="n">
        <v>2026</v>
      </c>
      <c r="C235" s="21" t="inlineStr">
        <is>
          <t>Juni</t>
        </is>
      </c>
      <c r="D235" s="20" t="n">
        <v>231</v>
      </c>
      <c r="E235" s="21" t="inlineStr">
        <is>
          <t>Akomodasi pengawalan sidang PTUN Bandung</t>
        </is>
      </c>
      <c r="F235" s="21" t="inlineStr">
        <is>
          <t>Aksi &amp; Advokasi</t>
        </is>
      </c>
      <c r="G235" s="10" t="inlineStr">
        <is>
          <t>Pengeluaran</t>
        </is>
      </c>
      <c r="H235" s="12" t="n">
        <v>1000000</v>
      </c>
    </row>
    <row r="236">
      <c r="A236" s="14" t="inlineStr">
        <is>
          <t>2026-06</t>
        </is>
      </c>
      <c r="B236" s="23" t="n">
        <v>2026</v>
      </c>
      <c r="C236" s="24" t="inlineStr">
        <is>
          <t>Juni</t>
        </is>
      </c>
      <c r="D236" s="23" t="n">
        <v>232</v>
      </c>
      <c r="E236" s="24" t="inlineStr">
        <is>
          <t>Pembelian stiker pintu sekretariat PUK</t>
        </is>
      </c>
      <c r="F236" s="24" t="inlineStr">
        <is>
          <t>Perlengkapan &amp; Atribut</t>
        </is>
      </c>
      <c r="G236" s="14" t="inlineStr">
        <is>
          <t>Pengeluaran</t>
        </is>
      </c>
      <c r="H236" s="16" t="n">
        <v>300000</v>
      </c>
    </row>
    <row r="237">
      <c r="A237" s="10" t="inlineStr">
        <is>
          <t>2026-07</t>
        </is>
      </c>
      <c r="B237" s="20" t="n">
        <v>2026</v>
      </c>
      <c r="C237" s="21" t="inlineStr">
        <is>
          <t>Juli</t>
        </is>
      </c>
      <c r="D237" s="20" t="n">
        <v>233</v>
      </c>
      <c r="E237" s="21" t="inlineStr">
        <is>
          <t>Dana COS Anggota Bulan Juli 2026</t>
        </is>
      </c>
      <c r="F237" s="21" t="inlineStr">
        <is>
          <t>Pemasukan COS</t>
        </is>
      </c>
      <c r="G237" s="10" t="inlineStr">
        <is>
          <t>Pemasukan</t>
        </is>
      </c>
      <c r="H237" s="11" t="n">
        <v>20250000</v>
      </c>
    </row>
    <row r="238">
      <c r="A238" s="14" t="inlineStr">
        <is>
          <t>2026-07</t>
        </is>
      </c>
      <c r="B238" s="23" t="n">
        <v>2026</v>
      </c>
      <c r="C238" s="24" t="inlineStr">
        <is>
          <t>Juli</t>
        </is>
      </c>
      <c r="D238" s="23" t="n">
        <v>234</v>
      </c>
      <c r="E238" s="24" t="inlineStr">
        <is>
          <t>Setor COS dan akomodasi pengurus</t>
        </is>
      </c>
      <c r="F238" s="24" t="inlineStr">
        <is>
          <t>Setor COS &amp; Pengurus</t>
        </is>
      </c>
      <c r="G238" s="14" t="inlineStr">
        <is>
          <t>Pengeluaran</t>
        </is>
      </c>
      <c r="H238" s="16" t="n">
        <v>9000000</v>
      </c>
    </row>
    <row r="239">
      <c r="A239" s="10" t="inlineStr">
        <is>
          <t>2026-07</t>
        </is>
      </c>
      <c r="B239" s="20" t="n">
        <v>2026</v>
      </c>
      <c r="C239" s="21" t="inlineStr">
        <is>
          <t>Juli</t>
        </is>
      </c>
      <c r="D239" s="20" t="n">
        <v>235</v>
      </c>
      <c r="E239" s="21" t="inlineStr">
        <is>
          <t>Setor COS TSCUF</t>
        </is>
      </c>
      <c r="F239" s="21" t="inlineStr">
        <is>
          <t>Setor COS TSCUF</t>
        </is>
      </c>
      <c r="G239" s="10" t="inlineStr">
        <is>
          <t>Pengeluaran</t>
        </is>
      </c>
      <c r="H239" s="12" t="n">
        <v>300000</v>
      </c>
    </row>
    <row r="240">
      <c r="A240" s="14" t="inlineStr">
        <is>
          <t>2026-07</t>
        </is>
      </c>
      <c r="B240" s="23" t="n">
        <v>2026</v>
      </c>
      <c r="C240" s="24" t="inlineStr">
        <is>
          <t>Juli</t>
        </is>
      </c>
      <c r="D240" s="23" t="n">
        <v>236</v>
      </c>
      <c r="E240" s="24" t="inlineStr">
        <is>
          <t>Angsuran Mobil</t>
        </is>
      </c>
      <c r="F240" s="24" t="inlineStr">
        <is>
          <t>Angsuran Mobil</t>
        </is>
      </c>
      <c r="G240" s="14" t="inlineStr">
        <is>
          <t>Pengeluaran</t>
        </is>
      </c>
      <c r="H240" s="16" t="n">
        <v>3800000</v>
      </c>
    </row>
    <row r="241">
      <c r="A241" s="10" t="inlineStr">
        <is>
          <t>2026-07</t>
        </is>
      </c>
      <c r="B241" s="20" t="n">
        <v>2026</v>
      </c>
      <c r="C241" s="21" t="inlineStr">
        <is>
          <t>Juli</t>
        </is>
      </c>
      <c r="D241" s="20" t="n">
        <v>237</v>
      </c>
      <c r="E241" s="21" t="inlineStr">
        <is>
          <t>Dana suka cita dan duka cita</t>
        </is>
      </c>
      <c r="F241" s="21" t="inlineStr">
        <is>
          <t>Dana Sosial</t>
        </is>
      </c>
      <c r="G241" s="10" t="inlineStr">
        <is>
          <t>Pengeluaran</t>
        </is>
      </c>
      <c r="H241" s="12" t="n">
        <v>300000</v>
      </c>
    </row>
    <row r="242">
      <c r="A242" s="14" t="inlineStr">
        <is>
          <t>2026-07</t>
        </is>
      </c>
      <c r="B242" s="23" t="n">
        <v>2026</v>
      </c>
      <c r="C242" s="24" t="inlineStr">
        <is>
          <t>Juli</t>
        </is>
      </c>
      <c r="D242" s="23" t="n">
        <v>238</v>
      </c>
      <c r="E242" s="24" t="inlineStr">
        <is>
          <t>Pendaftaran Dialog Ketenagakerjaan</t>
        </is>
      </c>
      <c r="F242" s="24" t="inlineStr">
        <is>
          <t>Kegiatan Organisasi</t>
        </is>
      </c>
      <c r="G242" s="14" t="inlineStr">
        <is>
          <t>Pengeluaran</t>
        </is>
      </c>
      <c r="H242" s="16" t="n">
        <v>3000000</v>
      </c>
    </row>
    <row r="243">
      <c r="A243" s="10" t="inlineStr">
        <is>
          <t>2026-07</t>
        </is>
      </c>
      <c r="B243" s="20" t="n">
        <v>2026</v>
      </c>
      <c r="C243" s="21" t="inlineStr">
        <is>
          <t>Juli</t>
        </is>
      </c>
      <c r="D243" s="20" t="n">
        <v>239</v>
      </c>
      <c r="E243" s="21" t="inlineStr">
        <is>
          <t>Akomodasi Dialog Ketenagakerjaan</t>
        </is>
      </c>
      <c r="F243" s="21" t="inlineStr">
        <is>
          <t>Kegiatan Organisasi</t>
        </is>
      </c>
      <c r="G243" s="10" t="inlineStr">
        <is>
          <t>Pengeluaran</t>
        </is>
      </c>
      <c r="H243" s="12" t="n">
        <v>1500000</v>
      </c>
    </row>
    <row r="244">
      <c r="A244" s="14" t="inlineStr">
        <is>
          <t>2026-07</t>
        </is>
      </c>
      <c r="B244" s="23" t="n">
        <v>2026</v>
      </c>
      <c r="C244" s="24" t="inlineStr">
        <is>
          <t>Juli</t>
        </is>
      </c>
      <c r="D244" s="23" t="n">
        <v>240</v>
      </c>
      <c r="E244" s="24" t="inlineStr">
        <is>
          <t>Akomodasi RAKOR BAPOR</t>
        </is>
      </c>
      <c r="F244" s="24" t="inlineStr">
        <is>
          <t>Kegiatan Organisasi</t>
        </is>
      </c>
      <c r="G244" s="14" t="inlineStr">
        <is>
          <t>Pengeluaran</t>
        </is>
      </c>
      <c r="H244" s="16" t="n">
        <v>500000</v>
      </c>
    </row>
    <row r="245">
      <c r="A245" s="10" t="inlineStr">
        <is>
          <t>2026-08</t>
        </is>
      </c>
      <c r="B245" s="20" t="n">
        <v>2026</v>
      </c>
      <c r="C245" s="21" t="inlineStr">
        <is>
          <t>Agustus</t>
        </is>
      </c>
      <c r="D245" s="20" t="n">
        <v>241</v>
      </c>
      <c r="E245" s="21" t="inlineStr">
        <is>
          <t>Dana COS Anggota Bulan Agustus 2026</t>
        </is>
      </c>
      <c r="F245" s="21" t="inlineStr">
        <is>
          <t>Pemasukan COS</t>
        </is>
      </c>
      <c r="G245" s="10" t="inlineStr">
        <is>
          <t>Pemasukan</t>
        </is>
      </c>
      <c r="H245" s="11" t="n">
        <v>20250000</v>
      </c>
    </row>
    <row r="246">
      <c r="A246" s="14" t="inlineStr">
        <is>
          <t>2026-08</t>
        </is>
      </c>
      <c r="B246" s="23" t="n">
        <v>2026</v>
      </c>
      <c r="C246" s="24" t="inlineStr">
        <is>
          <t>Agustus</t>
        </is>
      </c>
      <c r="D246" s="23" t="n">
        <v>242</v>
      </c>
      <c r="E246" s="24" t="inlineStr">
        <is>
          <t>Setor COS dan akomodasi pengurus</t>
        </is>
      </c>
      <c r="F246" s="24" t="inlineStr">
        <is>
          <t>Setor COS &amp; Pengurus</t>
        </is>
      </c>
      <c r="G246" s="14" t="inlineStr">
        <is>
          <t>Pengeluaran</t>
        </is>
      </c>
      <c r="H246" s="16" t="n">
        <v>9000000</v>
      </c>
    </row>
    <row r="247">
      <c r="A247" s="10" t="inlineStr">
        <is>
          <t>2026-08</t>
        </is>
      </c>
      <c r="B247" s="20" t="n">
        <v>2026</v>
      </c>
      <c r="C247" s="21" t="inlineStr">
        <is>
          <t>Agustus</t>
        </is>
      </c>
      <c r="D247" s="20" t="n">
        <v>243</v>
      </c>
      <c r="E247" s="21" t="inlineStr">
        <is>
          <t>Setor COS TSCUF</t>
        </is>
      </c>
      <c r="F247" s="21" t="inlineStr">
        <is>
          <t>Setor COS TSCUF</t>
        </is>
      </c>
      <c r="G247" s="10" t="inlineStr">
        <is>
          <t>Pengeluaran</t>
        </is>
      </c>
      <c r="H247" s="12" t="n">
        <v>300000</v>
      </c>
    </row>
    <row r="248">
      <c r="A248" s="14" t="inlineStr">
        <is>
          <t>2026-08</t>
        </is>
      </c>
      <c r="B248" s="23" t="n">
        <v>2026</v>
      </c>
      <c r="C248" s="24" t="inlineStr">
        <is>
          <t>Agustus</t>
        </is>
      </c>
      <c r="D248" s="23" t="n">
        <v>244</v>
      </c>
      <c r="E248" s="24" t="inlineStr">
        <is>
          <t>Angsuran Mobil</t>
        </is>
      </c>
      <c r="F248" s="24" t="inlineStr">
        <is>
          <t>Angsuran Mobil</t>
        </is>
      </c>
      <c r="G248" s="14" t="inlineStr">
        <is>
          <t>Pengeluaran</t>
        </is>
      </c>
      <c r="H248" s="16" t="n">
        <v>3800000</v>
      </c>
    </row>
    <row r="249">
      <c r="A249" s="10" t="inlineStr">
        <is>
          <t>2026-08</t>
        </is>
      </c>
      <c r="B249" s="20" t="n">
        <v>2026</v>
      </c>
      <c r="C249" s="21" t="inlineStr">
        <is>
          <t>Agustus</t>
        </is>
      </c>
      <c r="D249" s="20" t="n">
        <v>245</v>
      </c>
      <c r="E249" s="21" t="inlineStr">
        <is>
          <t>Dana suka cita dan duka cita</t>
        </is>
      </c>
      <c r="F249" s="21" t="inlineStr">
        <is>
          <t>Dana Sosial</t>
        </is>
      </c>
      <c r="G249" s="10" t="inlineStr">
        <is>
          <t>Pengeluaran</t>
        </is>
      </c>
      <c r="H249" s="12" t="n">
        <v>300000</v>
      </c>
    </row>
    <row r="250">
      <c r="A250" s="14" t="inlineStr">
        <is>
          <t>2026-08</t>
        </is>
      </c>
      <c r="B250" s="23" t="n">
        <v>2026</v>
      </c>
      <c r="C250" s="24" t="inlineStr">
        <is>
          <t>Agustus</t>
        </is>
      </c>
      <c r="D250" s="23" t="n">
        <v>246</v>
      </c>
      <c r="E250" s="24" t="inlineStr">
        <is>
          <t>Pendaftaran futsal DPC CUP</t>
        </is>
      </c>
      <c r="F250" s="24" t="inlineStr">
        <is>
          <t>Olahraga &amp; Kegiatan</t>
        </is>
      </c>
      <c r="G250" s="14" t="inlineStr">
        <is>
          <t>Pengeluaran</t>
        </is>
      </c>
      <c r="H250" s="16" t="n">
        <v>200000</v>
      </c>
    </row>
    <row r="251">
      <c r="A251" s="10" t="inlineStr">
        <is>
          <t>2026-08</t>
        </is>
      </c>
      <c r="B251" s="20" t="n">
        <v>2026</v>
      </c>
      <c r="C251" s="21" t="inlineStr">
        <is>
          <t>Agustus</t>
        </is>
      </c>
      <c r="D251" s="20" t="n">
        <v>247</v>
      </c>
      <c r="E251" s="21" t="inlineStr">
        <is>
          <t>Akomodasi futsal DPC CUP</t>
        </is>
      </c>
      <c r="F251" s="21" t="inlineStr">
        <is>
          <t>Olahraga &amp; Kegiatan</t>
        </is>
      </c>
      <c r="G251" s="10" t="inlineStr">
        <is>
          <t>Pengeluaran</t>
        </is>
      </c>
      <c r="H251" s="12" t="n">
        <v>1000000</v>
      </c>
    </row>
    <row r="252">
      <c r="A252" s="14" t="inlineStr">
        <is>
          <t>2026-08</t>
        </is>
      </c>
      <c r="B252" s="23" t="n">
        <v>2026</v>
      </c>
      <c r="C252" s="24" t="inlineStr">
        <is>
          <t>Agustus</t>
        </is>
      </c>
      <c r="D252" s="23" t="n">
        <v>248</v>
      </c>
      <c r="E252" s="24" t="inlineStr">
        <is>
          <t>Pendaftaran acara mancing DPC</t>
        </is>
      </c>
      <c r="F252" s="24" t="inlineStr">
        <is>
          <t>Olahraga &amp; Kegiatan</t>
        </is>
      </c>
      <c r="G252" s="14" t="inlineStr">
        <is>
          <t>Pengeluaran</t>
        </is>
      </c>
      <c r="H252" s="16" t="n">
        <v>200000</v>
      </c>
    </row>
    <row r="253">
      <c r="A253" s="10" t="inlineStr">
        <is>
          <t>2026-08</t>
        </is>
      </c>
      <c r="B253" s="20" t="n">
        <v>2026</v>
      </c>
      <c r="C253" s="21" t="inlineStr">
        <is>
          <t>Agustus</t>
        </is>
      </c>
      <c r="D253" s="20" t="n">
        <v>249</v>
      </c>
      <c r="E253" s="21" t="inlineStr">
        <is>
          <t>Akomodasi acara mancing DPC</t>
        </is>
      </c>
      <c r="F253" s="21" t="inlineStr">
        <is>
          <t>Olahraga &amp; Kegiatan</t>
        </is>
      </c>
      <c r="G253" s="10" t="inlineStr">
        <is>
          <t>Pengeluaran</t>
        </is>
      </c>
      <c r="H253" s="12" t="n">
        <v>500000</v>
      </c>
    </row>
    <row r="254">
      <c r="E254" s="26" t="inlineStr">
        <is>
          <t>TOTAL TRANSAKSI TERCATAT</t>
        </is>
      </c>
      <c r="F254" s="27" t="n"/>
      <c r="G254" s="27" t="n"/>
      <c r="H254" s="19">
        <f>SUM(H5:H253)</f>
        <v/>
      </c>
    </row>
  </sheetData>
  <mergeCells count="2">
    <mergeCell ref="A1:H2"/>
    <mergeCell ref="A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20" customWidth="1" min="8" max="8"/>
  </cols>
  <sheetData>
    <row r="1">
      <c r="A1" s="1" t="inlineStr">
        <is>
          <t>REKAPITULASI PEMASUKAN KAS PER KATEGORI &amp; PER TAHUN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Dihitung Otomatis dari Data_Transaksi &amp; Data_Bulanan menggunakan Rumus Dinamis SUMIFS</t>
        </is>
      </c>
      <c r="B3" s="2" t="n"/>
      <c r="C3" s="2" t="n"/>
      <c r="D3" s="2" t="n"/>
      <c r="E3" s="2" t="n"/>
      <c r="F3" s="2" t="n"/>
      <c r="G3" s="2" t="n"/>
      <c r="H3" s="2" t="n"/>
    </row>
    <row r="5">
      <c r="B5" s="4" t="inlineStr">
        <is>
          <t>TOTAL PEMASUKAN KAS</t>
        </is>
      </c>
      <c r="C5" s="4" t="inlineStr">
        <is>
          <t>RATA-RATA PEMASUKAN / BULAN</t>
        </is>
      </c>
      <c r="D5" s="4" t="inlineStr">
        <is>
          <t>PEMASUKAN TERTINGGI (BULAN)</t>
        </is>
      </c>
      <c r="E5" s="28" t="n"/>
      <c r="F5" s="5" t="inlineStr">
        <is>
          <t>TARIF COS BULANAN TERAKHIR</t>
        </is>
      </c>
      <c r="G5" s="29" t="n"/>
    </row>
    <row r="6">
      <c r="B6" s="6">
        <f>SUM(Data_Bulanan!E5:E1000)</f>
        <v/>
      </c>
      <c r="C6" s="6">
        <f>AVERAGEIF(Data_Bulanan!E5:E1000,"&gt;0")</f>
        <v/>
      </c>
      <c r="D6" s="6">
        <f>MAX(Data_Bulanan!E5:E1000)</f>
        <v/>
      </c>
      <c r="E6" s="28" t="n"/>
      <c r="F6" s="7">
        <f>LOOKUP(2,1/(Data_Bulanan!E5:E1000&lt;&gt;""),Data_Bulanan!E5:E1000)</f>
        <v/>
      </c>
      <c r="G6" s="29" t="n"/>
    </row>
    <row r="7">
      <c r="D7" s="28" t="n"/>
      <c r="E7" s="28" t="n"/>
      <c r="F7" s="29" t="n"/>
      <c r="G7" s="29" t="n"/>
    </row>
    <row r="9">
      <c r="B9" s="8" t="inlineStr">
        <is>
          <t>I. REKAPITULASI BERDASARKAN SUMBER / KATEGORI PEMASUKAN</t>
        </is>
      </c>
    </row>
    <row r="10">
      <c r="A10" s="9" t="inlineStr">
        <is>
          <t>No</t>
        </is>
      </c>
      <c r="B10" s="9" t="inlineStr">
        <is>
          <t>Sumber / Kategori Pemasukan</t>
        </is>
      </c>
      <c r="C10" s="9" t="inlineStr">
        <is>
          <t>2023 (Rp)</t>
        </is>
      </c>
      <c r="D10" s="9" t="inlineStr">
        <is>
          <t>2024 (Rp)</t>
        </is>
      </c>
      <c r="E10" s="9" t="inlineStr">
        <is>
          <t>2025 (Rp)</t>
        </is>
      </c>
      <c r="F10" s="9" t="inlineStr">
        <is>
          <t>2026 (Rp)</t>
        </is>
      </c>
      <c r="G10" s="9" t="inlineStr">
        <is>
          <t>Total Keseluruhan (Rp)</t>
        </is>
      </c>
      <c r="H10" s="9" t="inlineStr">
        <is>
          <t>Kontribusi %</t>
        </is>
      </c>
    </row>
    <row r="11">
      <c r="A11" s="20" t="n">
        <v>1</v>
      </c>
      <c r="B11" s="30" t="inlineStr">
        <is>
          <t>Pemasukan COS</t>
        </is>
      </c>
      <c r="C11" s="11">
        <f>SUMIFS(Data_Transaksi!$H:$H, Data_Transaksi!$F:$F, $B11, Data_Transaksi!$B:$B, 2023, Data_Transaksi!$G:$G, "Pemasukan")</f>
        <v/>
      </c>
      <c r="D11" s="11">
        <f>SUMIFS(Data_Transaksi!$H:$H, Data_Transaksi!$F:$F, $B11, Data_Transaksi!$B:$B, 2024, Data_Transaksi!$G:$G, "Pemasukan")</f>
        <v/>
      </c>
      <c r="E11" s="11">
        <f>SUMIFS(Data_Transaksi!$H:$H, Data_Transaksi!$F:$F, $B11, Data_Transaksi!$B:$B, 2025, Data_Transaksi!$G:$G, "Pemasukan")</f>
        <v/>
      </c>
      <c r="F11" s="11">
        <f>SUMIFS(Data_Transaksi!$H:$H, Data_Transaksi!$F:$F, $B11, Data_Transaksi!$B:$B, 2026, Data_Transaksi!$G:$G, "Pemasukan")</f>
        <v/>
      </c>
      <c r="G11" s="13">
        <f>SUM(C11:F11)</f>
        <v/>
      </c>
      <c r="H11" s="31">
        <f>IF($G$16&gt;0, G11/$G$16, 0)</f>
        <v/>
      </c>
    </row>
    <row r="12">
      <c r="A12" s="23" t="n">
        <v>2</v>
      </c>
      <c r="B12" s="32" t="inlineStr">
        <is>
          <t>Iuran Sukarela &amp; Sumbangan</t>
        </is>
      </c>
      <c r="C12" s="15">
        <f>SUMIFS(Data_Transaksi!$H:$H, Data_Transaksi!$F:$F, $B12, Data_Transaksi!$B:$B, 2023, Data_Transaksi!$G:$G, "Pemasukan")</f>
        <v/>
      </c>
      <c r="D12" s="15">
        <f>SUMIFS(Data_Transaksi!$H:$H, Data_Transaksi!$F:$F, $B12, Data_Transaksi!$B:$B, 2024, Data_Transaksi!$G:$G, "Pemasukan")</f>
        <v/>
      </c>
      <c r="E12" s="15">
        <f>SUMIFS(Data_Transaksi!$H:$H, Data_Transaksi!$F:$F, $B12, Data_Transaksi!$B:$B, 2025, Data_Transaksi!$G:$G, "Pemasukan")</f>
        <v/>
      </c>
      <c r="F12" s="15">
        <f>SUMIFS(Data_Transaksi!$H:$H, Data_Transaksi!$F:$F, $B12, Data_Transaksi!$B:$B, 2026, Data_Transaksi!$G:$G, "Pemasukan")</f>
        <v/>
      </c>
      <c r="G12" s="17">
        <f>SUM(C12:F12)</f>
        <v/>
      </c>
      <c r="H12" s="33">
        <f>IF($G$16&gt;0, G12/$G$16, 0)</f>
        <v/>
      </c>
    </row>
    <row r="13">
      <c r="A13" s="20" t="n">
        <v>3</v>
      </c>
      <c r="B13" s="30" t="inlineStr">
        <is>
          <t>Bantuan &amp; Subsidi Organisasi</t>
        </is>
      </c>
      <c r="C13" s="11">
        <f>SUMIFS(Data_Transaksi!$H:$H, Data_Transaksi!$F:$F, $B13, Data_Transaksi!$B:$B, 2023, Data_Transaksi!$G:$G, "Pemasukan")</f>
        <v/>
      </c>
      <c r="D13" s="11">
        <f>SUMIFS(Data_Transaksi!$H:$H, Data_Transaksi!$F:$F, $B13, Data_Transaksi!$B:$B, 2024, Data_Transaksi!$G:$G, "Pemasukan")</f>
        <v/>
      </c>
      <c r="E13" s="11">
        <f>SUMIFS(Data_Transaksi!$H:$H, Data_Transaksi!$F:$F, $B13, Data_Transaksi!$B:$B, 2025, Data_Transaksi!$G:$G, "Pemasukan")</f>
        <v/>
      </c>
      <c r="F13" s="11">
        <f>SUMIFS(Data_Transaksi!$H:$H, Data_Transaksi!$F:$F, $B13, Data_Transaksi!$B:$B, 2026, Data_Transaksi!$G:$G, "Pemasukan")</f>
        <v/>
      </c>
      <c r="G13" s="13">
        <f>SUM(C13:F13)</f>
        <v/>
      </c>
      <c r="H13" s="31">
        <f>IF($G$16&gt;0, G13/$G$16, 0)</f>
        <v/>
      </c>
    </row>
    <row r="14">
      <c r="A14" s="23" t="n">
        <v>4</v>
      </c>
      <c r="B14" s="32" t="inlineStr">
        <is>
          <t>Hasil Usaha &amp; Merchandise</t>
        </is>
      </c>
      <c r="C14" s="15">
        <f>SUMIFS(Data_Transaksi!$H:$H, Data_Transaksi!$F:$F, $B14, Data_Transaksi!$B:$B, 2023, Data_Transaksi!$G:$G, "Pemasukan")</f>
        <v/>
      </c>
      <c r="D14" s="15">
        <f>SUMIFS(Data_Transaksi!$H:$H, Data_Transaksi!$F:$F, $B14, Data_Transaksi!$B:$B, 2024, Data_Transaksi!$G:$G, "Pemasukan")</f>
        <v/>
      </c>
      <c r="E14" s="15">
        <f>SUMIFS(Data_Transaksi!$H:$H, Data_Transaksi!$F:$F, $B14, Data_Transaksi!$B:$B, 2025, Data_Transaksi!$G:$G, "Pemasukan")</f>
        <v/>
      </c>
      <c r="F14" s="15">
        <f>SUMIFS(Data_Transaksi!$H:$H, Data_Transaksi!$F:$F, $B14, Data_Transaksi!$B:$B, 2026, Data_Transaksi!$G:$G, "Pemasukan")</f>
        <v/>
      </c>
      <c r="G14" s="17">
        <f>SUM(C14:F14)</f>
        <v/>
      </c>
      <c r="H14" s="33">
        <f>IF($G$16&gt;0, G14/$G$16, 0)</f>
        <v/>
      </c>
    </row>
    <row r="15">
      <c r="A15" s="20" t="n">
        <v>5</v>
      </c>
      <c r="B15" s="30" t="inlineStr">
        <is>
          <t>Pendapatan Lain-lain / Bunga Kas</t>
        </is>
      </c>
      <c r="C15" s="11">
        <f>SUMIFS(Data_Transaksi!$H:$H, Data_Transaksi!$F:$F, $B15, Data_Transaksi!$B:$B, 2023, Data_Transaksi!$G:$G, "Pemasukan")</f>
        <v/>
      </c>
      <c r="D15" s="11">
        <f>SUMIFS(Data_Transaksi!$H:$H, Data_Transaksi!$F:$F, $B15, Data_Transaksi!$B:$B, 2024, Data_Transaksi!$G:$G, "Pemasukan")</f>
        <v/>
      </c>
      <c r="E15" s="11">
        <f>SUMIFS(Data_Transaksi!$H:$H, Data_Transaksi!$F:$F, $B15, Data_Transaksi!$B:$B, 2025, Data_Transaksi!$G:$G, "Pemasukan")</f>
        <v/>
      </c>
      <c r="F15" s="11">
        <f>SUMIFS(Data_Transaksi!$H:$H, Data_Transaksi!$F:$F, $B15, Data_Transaksi!$B:$B, 2026, Data_Transaksi!$G:$G, "Pemasukan")</f>
        <v/>
      </c>
      <c r="G15" s="13">
        <f>SUM(C15:F15)</f>
        <v/>
      </c>
      <c r="H15" s="31">
        <f>IF($G$16&gt;0, G15/$G$16, 0)</f>
        <v/>
      </c>
    </row>
    <row r="16">
      <c r="A16" s="27" t="n"/>
      <c r="B16" s="26" t="inlineStr">
        <is>
          <t>TOTAL PEMASUKAN KAS</t>
        </is>
      </c>
      <c r="C16" s="19">
        <f>SUM(C11:C15)</f>
        <v/>
      </c>
      <c r="D16" s="19">
        <f>SUM(D11:D15)</f>
        <v/>
      </c>
      <c r="E16" s="19">
        <f>SUM(E11:E15)</f>
        <v/>
      </c>
      <c r="F16" s="19">
        <f>SUM(F11:F15)</f>
        <v/>
      </c>
      <c r="G16" s="19">
        <f>SUM(G11:G15)</f>
        <v/>
      </c>
      <c r="H16" s="34">
        <f>SUM(H11:H15)</f>
        <v/>
      </c>
    </row>
    <row r="19">
      <c r="B19" s="8" t="inlineStr">
        <is>
          <t>II. REKAPITULASI PEMASUKAN BULANAN (JANUARI — DESEMBER)</t>
        </is>
      </c>
    </row>
    <row r="20">
      <c r="A20" s="9" t="inlineStr">
        <is>
          <t>No</t>
        </is>
      </c>
      <c r="B20" s="9" t="inlineStr">
        <is>
          <t>Bulan Transaksi</t>
        </is>
      </c>
      <c r="C20" s="9" t="inlineStr">
        <is>
          <t>2023 (Rp)</t>
        </is>
      </c>
      <c r="D20" s="9" t="inlineStr">
        <is>
          <t>2024 (Rp)</t>
        </is>
      </c>
      <c r="E20" s="9" t="inlineStr">
        <is>
          <t>2025 (Rp)</t>
        </is>
      </c>
      <c r="F20" s="9" t="inlineStr">
        <is>
          <t>2026 (Rp)</t>
        </is>
      </c>
      <c r="G20" s="9" t="inlineStr">
        <is>
          <t>Total Akumulasi (Rp)</t>
        </is>
      </c>
      <c r="H20" s="9" t="inlineStr">
        <is>
          <t>Rata-rata Bulanan (Rp)</t>
        </is>
      </c>
    </row>
    <row r="21">
      <c r="A21" s="20" t="n">
        <v>1</v>
      </c>
      <c r="B21" s="30" t="inlineStr">
        <is>
          <t>Januari</t>
        </is>
      </c>
      <c r="C21" s="11">
        <f>SUMIFS(Data_Bulanan!$E:$E, Data_Bulanan!$B:$B, 2023, Data_Bulanan!$C:$C, $B21)</f>
        <v/>
      </c>
      <c r="D21" s="11">
        <f>SUMIFS(Data_Bulanan!$E:$E, Data_Bulanan!$B:$B, 2024, Data_Bulanan!$C:$C, $B21)</f>
        <v/>
      </c>
      <c r="E21" s="11">
        <f>SUMIFS(Data_Bulanan!$E:$E, Data_Bulanan!$B:$B, 2025, Data_Bulanan!$C:$C, $B21)</f>
        <v/>
      </c>
      <c r="F21" s="11">
        <f>SUMIFS(Data_Bulanan!$E:$E, Data_Bulanan!$B:$B, 2026, Data_Bulanan!$C:$C, $B21)</f>
        <v/>
      </c>
      <c r="G21" s="13">
        <f>SUM(C21:F21)</f>
        <v/>
      </c>
      <c r="H21" s="35">
        <f>IFERROR(AVERAGEIF(C21:F21, "&gt;0"), 0)</f>
        <v/>
      </c>
    </row>
    <row r="22">
      <c r="A22" s="23" t="n">
        <v>2</v>
      </c>
      <c r="B22" s="32" t="inlineStr">
        <is>
          <t>Februari</t>
        </is>
      </c>
      <c r="C22" s="15">
        <f>SUMIFS(Data_Bulanan!$E:$E, Data_Bulanan!$B:$B, 2023, Data_Bulanan!$C:$C, $B22)</f>
        <v/>
      </c>
      <c r="D22" s="15">
        <f>SUMIFS(Data_Bulanan!$E:$E, Data_Bulanan!$B:$B, 2024, Data_Bulanan!$C:$C, $B22)</f>
        <v/>
      </c>
      <c r="E22" s="15">
        <f>SUMIFS(Data_Bulanan!$E:$E, Data_Bulanan!$B:$B, 2025, Data_Bulanan!$C:$C, $B22)</f>
        <v/>
      </c>
      <c r="F22" s="15">
        <f>SUMIFS(Data_Bulanan!$E:$E, Data_Bulanan!$B:$B, 2026, Data_Bulanan!$C:$C, $B22)</f>
        <v/>
      </c>
      <c r="G22" s="17">
        <f>SUM(C22:F22)</f>
        <v/>
      </c>
      <c r="H22" s="36">
        <f>IFERROR(AVERAGEIF(C22:F22, "&gt;0"), 0)</f>
        <v/>
      </c>
    </row>
    <row r="23">
      <c r="A23" s="20" t="n">
        <v>3</v>
      </c>
      <c r="B23" s="30" t="inlineStr">
        <is>
          <t>Maret</t>
        </is>
      </c>
      <c r="C23" s="11">
        <f>SUMIFS(Data_Bulanan!$E:$E, Data_Bulanan!$B:$B, 2023, Data_Bulanan!$C:$C, $B23)</f>
        <v/>
      </c>
      <c r="D23" s="11">
        <f>SUMIFS(Data_Bulanan!$E:$E, Data_Bulanan!$B:$B, 2024, Data_Bulanan!$C:$C, $B23)</f>
        <v/>
      </c>
      <c r="E23" s="11">
        <f>SUMIFS(Data_Bulanan!$E:$E, Data_Bulanan!$B:$B, 2025, Data_Bulanan!$C:$C, $B23)</f>
        <v/>
      </c>
      <c r="F23" s="11">
        <f>SUMIFS(Data_Bulanan!$E:$E, Data_Bulanan!$B:$B, 2026, Data_Bulanan!$C:$C, $B23)</f>
        <v/>
      </c>
      <c r="G23" s="13">
        <f>SUM(C23:F23)</f>
        <v/>
      </c>
      <c r="H23" s="35">
        <f>IFERROR(AVERAGEIF(C23:F23, "&gt;0"), 0)</f>
        <v/>
      </c>
    </row>
    <row r="24">
      <c r="A24" s="23" t="n">
        <v>4</v>
      </c>
      <c r="B24" s="32" t="inlineStr">
        <is>
          <t>April</t>
        </is>
      </c>
      <c r="C24" s="15">
        <f>SUMIFS(Data_Bulanan!$E:$E, Data_Bulanan!$B:$B, 2023, Data_Bulanan!$C:$C, $B24)</f>
        <v/>
      </c>
      <c r="D24" s="15">
        <f>SUMIFS(Data_Bulanan!$E:$E, Data_Bulanan!$B:$B, 2024, Data_Bulanan!$C:$C, $B24)</f>
        <v/>
      </c>
      <c r="E24" s="15">
        <f>SUMIFS(Data_Bulanan!$E:$E, Data_Bulanan!$B:$B, 2025, Data_Bulanan!$C:$C, $B24)</f>
        <v/>
      </c>
      <c r="F24" s="15">
        <f>SUMIFS(Data_Bulanan!$E:$E, Data_Bulanan!$B:$B, 2026, Data_Bulanan!$C:$C, $B24)</f>
        <v/>
      </c>
      <c r="G24" s="17">
        <f>SUM(C24:F24)</f>
        <v/>
      </c>
      <c r="H24" s="36">
        <f>IFERROR(AVERAGEIF(C24:F24, "&gt;0"), 0)</f>
        <v/>
      </c>
    </row>
    <row r="25">
      <c r="A25" s="20" t="n">
        <v>5</v>
      </c>
      <c r="B25" s="30" t="inlineStr">
        <is>
          <t>Mei</t>
        </is>
      </c>
      <c r="C25" s="11">
        <f>SUMIFS(Data_Bulanan!$E:$E, Data_Bulanan!$B:$B, 2023, Data_Bulanan!$C:$C, $B25)</f>
        <v/>
      </c>
      <c r="D25" s="11">
        <f>SUMIFS(Data_Bulanan!$E:$E, Data_Bulanan!$B:$B, 2024, Data_Bulanan!$C:$C, $B25)</f>
        <v/>
      </c>
      <c r="E25" s="11">
        <f>SUMIFS(Data_Bulanan!$E:$E, Data_Bulanan!$B:$B, 2025, Data_Bulanan!$C:$C, $B25)</f>
        <v/>
      </c>
      <c r="F25" s="11">
        <f>SUMIFS(Data_Bulanan!$E:$E, Data_Bulanan!$B:$B, 2026, Data_Bulanan!$C:$C, $B25)</f>
        <v/>
      </c>
      <c r="G25" s="13">
        <f>SUM(C25:F25)</f>
        <v/>
      </c>
      <c r="H25" s="35">
        <f>IFERROR(AVERAGEIF(C25:F25, "&gt;0"), 0)</f>
        <v/>
      </c>
    </row>
    <row r="26">
      <c r="A26" s="23" t="n">
        <v>6</v>
      </c>
      <c r="B26" s="32" t="inlineStr">
        <is>
          <t>Juni</t>
        </is>
      </c>
      <c r="C26" s="15">
        <f>SUMIFS(Data_Bulanan!$E:$E, Data_Bulanan!$B:$B, 2023, Data_Bulanan!$C:$C, $B26)</f>
        <v/>
      </c>
      <c r="D26" s="15">
        <f>SUMIFS(Data_Bulanan!$E:$E, Data_Bulanan!$B:$B, 2024, Data_Bulanan!$C:$C, $B26)</f>
        <v/>
      </c>
      <c r="E26" s="15">
        <f>SUMIFS(Data_Bulanan!$E:$E, Data_Bulanan!$B:$B, 2025, Data_Bulanan!$C:$C, $B26)</f>
        <v/>
      </c>
      <c r="F26" s="15">
        <f>SUMIFS(Data_Bulanan!$E:$E, Data_Bulanan!$B:$B, 2026, Data_Bulanan!$C:$C, $B26)</f>
        <v/>
      </c>
      <c r="G26" s="17">
        <f>SUM(C26:F26)</f>
        <v/>
      </c>
      <c r="H26" s="36">
        <f>IFERROR(AVERAGEIF(C26:F26, "&gt;0"), 0)</f>
        <v/>
      </c>
    </row>
    <row r="27">
      <c r="A27" s="20" t="n">
        <v>7</v>
      </c>
      <c r="B27" s="30" t="inlineStr">
        <is>
          <t>Juli</t>
        </is>
      </c>
      <c r="C27" s="11">
        <f>SUMIFS(Data_Bulanan!$E:$E, Data_Bulanan!$B:$B, 2023, Data_Bulanan!$C:$C, $B27)</f>
        <v/>
      </c>
      <c r="D27" s="11">
        <f>SUMIFS(Data_Bulanan!$E:$E, Data_Bulanan!$B:$B, 2024, Data_Bulanan!$C:$C, $B27)</f>
        <v/>
      </c>
      <c r="E27" s="11">
        <f>SUMIFS(Data_Bulanan!$E:$E, Data_Bulanan!$B:$B, 2025, Data_Bulanan!$C:$C, $B27)</f>
        <v/>
      </c>
      <c r="F27" s="11">
        <f>SUMIFS(Data_Bulanan!$E:$E, Data_Bulanan!$B:$B, 2026, Data_Bulanan!$C:$C, $B27)</f>
        <v/>
      </c>
      <c r="G27" s="13">
        <f>SUM(C27:F27)</f>
        <v/>
      </c>
      <c r="H27" s="35">
        <f>IFERROR(AVERAGEIF(C27:F27, "&gt;0"), 0)</f>
        <v/>
      </c>
    </row>
    <row r="28">
      <c r="A28" s="23" t="n">
        <v>8</v>
      </c>
      <c r="B28" s="32" t="inlineStr">
        <is>
          <t>Agustus</t>
        </is>
      </c>
      <c r="C28" s="15">
        <f>SUMIFS(Data_Bulanan!$E:$E, Data_Bulanan!$B:$B, 2023, Data_Bulanan!$C:$C, $B28)</f>
        <v/>
      </c>
      <c r="D28" s="15">
        <f>SUMIFS(Data_Bulanan!$E:$E, Data_Bulanan!$B:$B, 2024, Data_Bulanan!$C:$C, $B28)</f>
        <v/>
      </c>
      <c r="E28" s="15">
        <f>SUMIFS(Data_Bulanan!$E:$E, Data_Bulanan!$B:$B, 2025, Data_Bulanan!$C:$C, $B28)</f>
        <v/>
      </c>
      <c r="F28" s="15">
        <f>SUMIFS(Data_Bulanan!$E:$E, Data_Bulanan!$B:$B, 2026, Data_Bulanan!$C:$C, $B28)</f>
        <v/>
      </c>
      <c r="G28" s="17">
        <f>SUM(C28:F28)</f>
        <v/>
      </c>
      <c r="H28" s="36">
        <f>IFERROR(AVERAGEIF(C28:F28, "&gt;0"), 0)</f>
        <v/>
      </c>
    </row>
    <row r="29">
      <c r="A29" s="20" t="n">
        <v>9</v>
      </c>
      <c r="B29" s="30" t="inlineStr">
        <is>
          <t>September</t>
        </is>
      </c>
      <c r="C29" s="11">
        <f>SUMIFS(Data_Bulanan!$E:$E, Data_Bulanan!$B:$B, 2023, Data_Bulanan!$C:$C, $B29)</f>
        <v/>
      </c>
      <c r="D29" s="11">
        <f>SUMIFS(Data_Bulanan!$E:$E, Data_Bulanan!$B:$B, 2024, Data_Bulanan!$C:$C, $B29)</f>
        <v/>
      </c>
      <c r="E29" s="11">
        <f>SUMIFS(Data_Bulanan!$E:$E, Data_Bulanan!$B:$B, 2025, Data_Bulanan!$C:$C, $B29)</f>
        <v/>
      </c>
      <c r="F29" s="11">
        <f>SUMIFS(Data_Bulanan!$E:$E, Data_Bulanan!$B:$B, 2026, Data_Bulanan!$C:$C, $B29)</f>
        <v/>
      </c>
      <c r="G29" s="13">
        <f>SUM(C29:F29)</f>
        <v/>
      </c>
      <c r="H29" s="35">
        <f>IFERROR(AVERAGEIF(C29:F29, "&gt;0"), 0)</f>
        <v/>
      </c>
    </row>
    <row r="30">
      <c r="A30" s="23" t="n">
        <v>10</v>
      </c>
      <c r="B30" s="32" t="inlineStr">
        <is>
          <t>Oktober</t>
        </is>
      </c>
      <c r="C30" s="15">
        <f>SUMIFS(Data_Bulanan!$E:$E, Data_Bulanan!$B:$B, 2023, Data_Bulanan!$C:$C, $B30)</f>
        <v/>
      </c>
      <c r="D30" s="15">
        <f>SUMIFS(Data_Bulanan!$E:$E, Data_Bulanan!$B:$B, 2024, Data_Bulanan!$C:$C, $B30)</f>
        <v/>
      </c>
      <c r="E30" s="15">
        <f>SUMIFS(Data_Bulanan!$E:$E, Data_Bulanan!$B:$B, 2025, Data_Bulanan!$C:$C, $B30)</f>
        <v/>
      </c>
      <c r="F30" s="15">
        <f>SUMIFS(Data_Bulanan!$E:$E, Data_Bulanan!$B:$B, 2026, Data_Bulanan!$C:$C, $B30)</f>
        <v/>
      </c>
      <c r="G30" s="17">
        <f>SUM(C30:F30)</f>
        <v/>
      </c>
      <c r="H30" s="36">
        <f>IFERROR(AVERAGEIF(C30:F30, "&gt;0"), 0)</f>
        <v/>
      </c>
    </row>
    <row r="31">
      <c r="A31" s="20" t="n">
        <v>11</v>
      </c>
      <c r="B31" s="30" t="inlineStr">
        <is>
          <t>November</t>
        </is>
      </c>
      <c r="C31" s="11">
        <f>SUMIFS(Data_Bulanan!$E:$E, Data_Bulanan!$B:$B, 2023, Data_Bulanan!$C:$C, $B31)</f>
        <v/>
      </c>
      <c r="D31" s="11">
        <f>SUMIFS(Data_Bulanan!$E:$E, Data_Bulanan!$B:$B, 2024, Data_Bulanan!$C:$C, $B31)</f>
        <v/>
      </c>
      <c r="E31" s="11">
        <f>SUMIFS(Data_Bulanan!$E:$E, Data_Bulanan!$B:$B, 2025, Data_Bulanan!$C:$C, $B31)</f>
        <v/>
      </c>
      <c r="F31" s="11">
        <f>SUMIFS(Data_Bulanan!$E:$E, Data_Bulanan!$B:$B, 2026, Data_Bulanan!$C:$C, $B31)</f>
        <v/>
      </c>
      <c r="G31" s="13">
        <f>SUM(C31:F31)</f>
        <v/>
      </c>
      <c r="H31" s="35">
        <f>IFERROR(AVERAGEIF(C31:F31, "&gt;0"), 0)</f>
        <v/>
      </c>
    </row>
    <row r="32">
      <c r="A32" s="23" t="n">
        <v>12</v>
      </c>
      <c r="B32" s="32" t="inlineStr">
        <is>
          <t>Desember</t>
        </is>
      </c>
      <c r="C32" s="15">
        <f>SUMIFS(Data_Bulanan!$E:$E, Data_Bulanan!$B:$B, 2023, Data_Bulanan!$C:$C, $B32)</f>
        <v/>
      </c>
      <c r="D32" s="15">
        <f>SUMIFS(Data_Bulanan!$E:$E, Data_Bulanan!$B:$B, 2024, Data_Bulanan!$C:$C, $B32)</f>
        <v/>
      </c>
      <c r="E32" s="15">
        <f>SUMIFS(Data_Bulanan!$E:$E, Data_Bulanan!$B:$B, 2025, Data_Bulanan!$C:$C, $B32)</f>
        <v/>
      </c>
      <c r="F32" s="15">
        <f>SUMIFS(Data_Bulanan!$E:$E, Data_Bulanan!$B:$B, 2026, Data_Bulanan!$C:$C, $B32)</f>
        <v/>
      </c>
      <c r="G32" s="17">
        <f>SUM(C32:F32)</f>
        <v/>
      </c>
      <c r="H32" s="36">
        <f>IFERROR(AVERAGEIF(C32:F32, "&gt;0"), 0)</f>
        <v/>
      </c>
    </row>
    <row r="33">
      <c r="A33" s="27" t="n"/>
      <c r="B33" s="26" t="inlineStr">
        <is>
          <t>TOTAL PEMASUKAN BULANAN</t>
        </is>
      </c>
      <c r="C33" s="19">
        <f>SUM(C21:C32)</f>
        <v/>
      </c>
      <c r="D33" s="19">
        <f>SUM(D21:D32)</f>
        <v/>
      </c>
      <c r="E33" s="19">
        <f>SUM(E21:E32)</f>
        <v/>
      </c>
      <c r="F33" s="19">
        <f>SUM(F21:F32)</f>
        <v/>
      </c>
      <c r="G33" s="19">
        <f>SUM(G21:G32)</f>
        <v/>
      </c>
      <c r="H33" s="19">
        <f>IFERROR(AVERAGEIF(H21:H32, "&gt;0"), 0)</f>
        <v/>
      </c>
    </row>
  </sheetData>
  <mergeCells count="10">
    <mergeCell ref="B5"/>
    <mergeCell ref="A3:H3"/>
    <mergeCell ref="F5:G5"/>
    <mergeCell ref="D5:E5"/>
    <mergeCell ref="D6:E7"/>
    <mergeCell ref="F6:G7"/>
    <mergeCell ref="C6:C7"/>
    <mergeCell ref="A1:H2"/>
    <mergeCell ref="B6:B7"/>
    <mergeCell ref="C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4" customWidth="1" min="8" max="8"/>
  </cols>
  <sheetData>
    <row r="1">
      <c r="A1" s="1" t="inlineStr">
        <is>
          <t>REKAPITULASI PENGELUARAN PER KATEGORI &amp; PER TAHUN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Dihitung Otomatis dari Data_Transaksi menggunakan Rumus SUMIFS(Nominal, Kategori, Tahun, "Pengeluaran")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9" t="inlineStr">
        <is>
          <t>No</t>
        </is>
      </c>
      <c r="B4" s="9" t="inlineStr">
        <is>
          <t>Kategori Pengeluaran</t>
        </is>
      </c>
      <c r="C4" s="9" t="inlineStr">
        <is>
          <t>2023 (Rp)</t>
        </is>
      </c>
      <c r="D4" s="9" t="inlineStr">
        <is>
          <t>2024 (Rp)</t>
        </is>
      </c>
      <c r="E4" s="9" t="inlineStr">
        <is>
          <t>2025 (Rp)</t>
        </is>
      </c>
      <c r="F4" s="9" t="inlineStr">
        <is>
          <t>2026 (Rp)</t>
        </is>
      </c>
      <c r="G4" s="9" t="inlineStr">
        <is>
          <t>Total Keseluruhan (Rp)</t>
        </is>
      </c>
      <c r="H4" s="9" t="inlineStr">
        <is>
          <t>Kontribusi %</t>
        </is>
      </c>
    </row>
    <row r="5">
      <c r="A5" s="20" t="n">
        <v>1</v>
      </c>
      <c r="B5" s="30" t="inlineStr">
        <is>
          <t>Setor COS &amp; Pengurus</t>
        </is>
      </c>
      <c r="C5" s="35">
        <f>SUMIFS(Data_Transaksi!$H:$H, Data_Transaksi!$F:$F, $B5, Data_Transaksi!$B:$B, 2023, Data_Transaksi!$G:$G, "Pengeluaran")</f>
        <v/>
      </c>
      <c r="D5" s="35">
        <f>SUMIFS(Data_Transaksi!$H:$H, Data_Transaksi!$F:$F, $B5, Data_Transaksi!$B:$B, 2024, Data_Transaksi!$G:$G, "Pengeluaran")</f>
        <v/>
      </c>
      <c r="E5" s="35">
        <f>SUMIFS(Data_Transaksi!$H:$H, Data_Transaksi!$F:$F, $B5, Data_Transaksi!$B:$B, 2025, Data_Transaksi!$G:$G, "Pengeluaran")</f>
        <v/>
      </c>
      <c r="F5" s="35">
        <f>SUMIFS(Data_Transaksi!$H:$H, Data_Transaksi!$F:$F, $B5, Data_Transaksi!$B:$B, 2026, Data_Transaksi!$G:$G, "Pengeluaran")</f>
        <v/>
      </c>
      <c r="G5" s="13">
        <f>SUM(C5:F5)</f>
        <v/>
      </c>
      <c r="H5" s="31">
        <f>G5/$G$20</f>
        <v/>
      </c>
    </row>
    <row r="6">
      <c r="A6" s="23" t="n">
        <v>2</v>
      </c>
      <c r="B6" s="32" t="inlineStr">
        <is>
          <t>Angsuran Mobil</t>
        </is>
      </c>
      <c r="C6" s="36">
        <f>SUMIFS(Data_Transaksi!$H:$H, Data_Transaksi!$F:$F, $B6, Data_Transaksi!$B:$B, 2023, Data_Transaksi!$G:$G, "Pengeluaran")</f>
        <v/>
      </c>
      <c r="D6" s="36">
        <f>SUMIFS(Data_Transaksi!$H:$H, Data_Transaksi!$F:$F, $B6, Data_Transaksi!$B:$B, 2024, Data_Transaksi!$G:$G, "Pengeluaran")</f>
        <v/>
      </c>
      <c r="E6" s="36">
        <f>SUMIFS(Data_Transaksi!$H:$H, Data_Transaksi!$F:$F, $B6, Data_Transaksi!$B:$B, 2025, Data_Transaksi!$G:$G, "Pengeluaran")</f>
        <v/>
      </c>
      <c r="F6" s="36">
        <f>SUMIFS(Data_Transaksi!$H:$H, Data_Transaksi!$F:$F, $B6, Data_Transaksi!$B:$B, 2026, Data_Transaksi!$G:$G, "Pengeluaran")</f>
        <v/>
      </c>
      <c r="G6" s="17">
        <f>SUM(C6:F6)</f>
        <v/>
      </c>
      <c r="H6" s="33">
        <f>G6/$G$20</f>
        <v/>
      </c>
    </row>
    <row r="7">
      <c r="A7" s="20" t="n">
        <v>3</v>
      </c>
      <c r="B7" s="30" t="inlineStr">
        <is>
          <t>Aksi &amp; Advokasi</t>
        </is>
      </c>
      <c r="C7" s="35">
        <f>SUMIFS(Data_Transaksi!$H:$H, Data_Transaksi!$F:$F, $B7, Data_Transaksi!$B:$B, 2023, Data_Transaksi!$G:$G, "Pengeluaran")</f>
        <v/>
      </c>
      <c r="D7" s="35">
        <f>SUMIFS(Data_Transaksi!$H:$H, Data_Transaksi!$F:$F, $B7, Data_Transaksi!$B:$B, 2024, Data_Transaksi!$G:$G, "Pengeluaran")</f>
        <v/>
      </c>
      <c r="E7" s="35">
        <f>SUMIFS(Data_Transaksi!$H:$H, Data_Transaksi!$F:$F, $B7, Data_Transaksi!$B:$B, 2025, Data_Transaksi!$G:$G, "Pengeluaran")</f>
        <v/>
      </c>
      <c r="F7" s="35">
        <f>SUMIFS(Data_Transaksi!$H:$H, Data_Transaksi!$F:$F, $B7, Data_Transaksi!$B:$B, 2026, Data_Transaksi!$G:$G, "Pengeluaran")</f>
        <v/>
      </c>
      <c r="G7" s="13">
        <f>SUM(C7:F7)</f>
        <v/>
      </c>
      <c r="H7" s="31">
        <f>G7/$G$20</f>
        <v/>
      </c>
    </row>
    <row r="8">
      <c r="A8" s="23" t="n">
        <v>4</v>
      </c>
      <c r="B8" s="32" t="inlineStr">
        <is>
          <t>Kendaraan</t>
        </is>
      </c>
      <c r="C8" s="36">
        <f>SUMIFS(Data_Transaksi!$H:$H, Data_Transaksi!$F:$F, $B8, Data_Transaksi!$B:$B, 2023, Data_Transaksi!$G:$G, "Pengeluaran")</f>
        <v/>
      </c>
      <c r="D8" s="36">
        <f>SUMIFS(Data_Transaksi!$H:$H, Data_Transaksi!$F:$F, $B8, Data_Transaksi!$B:$B, 2024, Data_Transaksi!$G:$G, "Pengeluaran")</f>
        <v/>
      </c>
      <c r="E8" s="36">
        <f>SUMIFS(Data_Transaksi!$H:$H, Data_Transaksi!$F:$F, $B8, Data_Transaksi!$B:$B, 2025, Data_Transaksi!$G:$G, "Pengeluaran")</f>
        <v/>
      </c>
      <c r="F8" s="36">
        <f>SUMIFS(Data_Transaksi!$H:$H, Data_Transaksi!$F:$F, $B8, Data_Transaksi!$B:$B, 2026, Data_Transaksi!$G:$G, "Pengeluaran")</f>
        <v/>
      </c>
      <c r="G8" s="17">
        <f>SUM(C8:F8)</f>
        <v/>
      </c>
      <c r="H8" s="33">
        <f>G8/$G$20</f>
        <v/>
      </c>
    </row>
    <row r="9">
      <c r="A9" s="20" t="n">
        <v>5</v>
      </c>
      <c r="B9" s="30" t="inlineStr">
        <is>
          <t>Kegiatan Organisasi</t>
        </is>
      </c>
      <c r="C9" s="35">
        <f>SUMIFS(Data_Transaksi!$H:$H, Data_Transaksi!$F:$F, $B9, Data_Transaksi!$B:$B, 2023, Data_Transaksi!$G:$G, "Pengeluaran")</f>
        <v/>
      </c>
      <c r="D9" s="35">
        <f>SUMIFS(Data_Transaksi!$H:$H, Data_Transaksi!$F:$F, $B9, Data_Transaksi!$B:$B, 2024, Data_Transaksi!$G:$G, "Pengeluaran")</f>
        <v/>
      </c>
      <c r="E9" s="35">
        <f>SUMIFS(Data_Transaksi!$H:$H, Data_Transaksi!$F:$F, $B9, Data_Transaksi!$B:$B, 2025, Data_Transaksi!$G:$G, "Pengeluaran")</f>
        <v/>
      </c>
      <c r="F9" s="35">
        <f>SUMIFS(Data_Transaksi!$H:$H, Data_Transaksi!$F:$F, $B9, Data_Transaksi!$B:$B, 2026, Data_Transaksi!$G:$G, "Pengeluaran")</f>
        <v/>
      </c>
      <c r="G9" s="13">
        <f>SUM(C9:F9)</f>
        <v/>
      </c>
      <c r="H9" s="31">
        <f>G9/$G$20</f>
        <v/>
      </c>
    </row>
    <row r="10">
      <c r="A10" s="23" t="n">
        <v>6</v>
      </c>
      <c r="B10" s="32" t="inlineStr">
        <is>
          <t>May Day</t>
        </is>
      </c>
      <c r="C10" s="36">
        <f>SUMIFS(Data_Transaksi!$H:$H, Data_Transaksi!$F:$F, $B10, Data_Transaksi!$B:$B, 2023, Data_Transaksi!$G:$G, "Pengeluaran")</f>
        <v/>
      </c>
      <c r="D10" s="36">
        <f>SUMIFS(Data_Transaksi!$H:$H, Data_Transaksi!$F:$F, $B10, Data_Transaksi!$B:$B, 2024, Data_Transaksi!$G:$G, "Pengeluaran")</f>
        <v/>
      </c>
      <c r="E10" s="36">
        <f>SUMIFS(Data_Transaksi!$H:$H, Data_Transaksi!$F:$F, $B10, Data_Transaksi!$B:$B, 2025, Data_Transaksi!$G:$G, "Pengeluaran")</f>
        <v/>
      </c>
      <c r="F10" s="36">
        <f>SUMIFS(Data_Transaksi!$H:$H, Data_Transaksi!$F:$F, $B10, Data_Transaksi!$B:$B, 2026, Data_Transaksi!$G:$G, "Pengeluaran")</f>
        <v/>
      </c>
      <c r="G10" s="17">
        <f>SUM(C10:F10)</f>
        <v/>
      </c>
      <c r="H10" s="33">
        <f>G10/$G$20</f>
        <v/>
      </c>
    </row>
    <row r="11">
      <c r="A11" s="20" t="n">
        <v>7</v>
      </c>
      <c r="B11" s="30" t="inlineStr">
        <is>
          <t>Dana Sosial</t>
        </is>
      </c>
      <c r="C11" s="35">
        <f>SUMIFS(Data_Transaksi!$H:$H, Data_Transaksi!$F:$F, $B11, Data_Transaksi!$B:$B, 2023, Data_Transaksi!$G:$G, "Pengeluaran")</f>
        <v/>
      </c>
      <c r="D11" s="35">
        <f>SUMIFS(Data_Transaksi!$H:$H, Data_Transaksi!$F:$F, $B11, Data_Transaksi!$B:$B, 2024, Data_Transaksi!$G:$G, "Pengeluaran")</f>
        <v/>
      </c>
      <c r="E11" s="35">
        <f>SUMIFS(Data_Transaksi!$H:$H, Data_Transaksi!$F:$F, $B11, Data_Transaksi!$B:$B, 2025, Data_Transaksi!$G:$G, "Pengeluaran")</f>
        <v/>
      </c>
      <c r="F11" s="35">
        <f>SUMIFS(Data_Transaksi!$H:$H, Data_Transaksi!$F:$F, $B11, Data_Transaksi!$B:$B, 2026, Data_Transaksi!$G:$G, "Pengeluaran")</f>
        <v/>
      </c>
      <c r="G11" s="13">
        <f>SUM(C11:F11)</f>
        <v/>
      </c>
      <c r="H11" s="31">
        <f>G11/$G$20</f>
        <v/>
      </c>
    </row>
    <row r="12">
      <c r="A12" s="23" t="n">
        <v>8</v>
      </c>
      <c r="B12" s="32" t="inlineStr">
        <is>
          <t>THR &amp; Bonus</t>
        </is>
      </c>
      <c r="C12" s="36">
        <f>SUMIFS(Data_Transaksi!$H:$H, Data_Transaksi!$F:$F, $B12, Data_Transaksi!$B:$B, 2023, Data_Transaksi!$G:$G, "Pengeluaran")</f>
        <v/>
      </c>
      <c r="D12" s="36">
        <f>SUMIFS(Data_Transaksi!$H:$H, Data_Transaksi!$F:$F, $B12, Data_Transaksi!$B:$B, 2024, Data_Transaksi!$G:$G, "Pengeluaran")</f>
        <v/>
      </c>
      <c r="E12" s="36">
        <f>SUMIFS(Data_Transaksi!$H:$H, Data_Transaksi!$F:$F, $B12, Data_Transaksi!$B:$B, 2025, Data_Transaksi!$G:$G, "Pengeluaran")</f>
        <v/>
      </c>
      <c r="F12" s="36">
        <f>SUMIFS(Data_Transaksi!$H:$H, Data_Transaksi!$F:$F, $B12, Data_Transaksi!$B:$B, 2026, Data_Transaksi!$G:$G, "Pengeluaran")</f>
        <v/>
      </c>
      <c r="G12" s="17">
        <f>SUM(C12:F12)</f>
        <v/>
      </c>
      <c r="H12" s="33">
        <f>G12/$G$20</f>
        <v/>
      </c>
    </row>
    <row r="13">
      <c r="A13" s="20" t="n">
        <v>9</v>
      </c>
      <c r="B13" s="30" t="inlineStr">
        <is>
          <t>Olahraga &amp; Kegiatan</t>
        </is>
      </c>
      <c r="C13" s="35">
        <f>SUMIFS(Data_Transaksi!$H:$H, Data_Transaksi!$F:$F, $B13, Data_Transaksi!$B:$B, 2023, Data_Transaksi!$G:$G, "Pengeluaran")</f>
        <v/>
      </c>
      <c r="D13" s="35">
        <f>SUMIFS(Data_Transaksi!$H:$H, Data_Transaksi!$F:$F, $B13, Data_Transaksi!$B:$B, 2024, Data_Transaksi!$G:$G, "Pengeluaran")</f>
        <v/>
      </c>
      <c r="E13" s="35">
        <f>SUMIFS(Data_Transaksi!$H:$H, Data_Transaksi!$F:$F, $B13, Data_Transaksi!$B:$B, 2025, Data_Transaksi!$G:$G, "Pengeluaran")</f>
        <v/>
      </c>
      <c r="F13" s="35">
        <f>SUMIFS(Data_Transaksi!$H:$H, Data_Transaksi!$F:$F, $B13, Data_Transaksi!$B:$B, 2026, Data_Transaksi!$G:$G, "Pengeluaran")</f>
        <v/>
      </c>
      <c r="G13" s="13">
        <f>SUM(C13:F13)</f>
        <v/>
      </c>
      <c r="H13" s="31">
        <f>G13/$G$20</f>
        <v/>
      </c>
    </row>
    <row r="14">
      <c r="A14" s="23" t="n">
        <v>10</v>
      </c>
      <c r="B14" s="32" t="inlineStr">
        <is>
          <t>Perlengkapan &amp; Atribut</t>
        </is>
      </c>
      <c r="C14" s="36">
        <f>SUMIFS(Data_Transaksi!$H:$H, Data_Transaksi!$F:$F, $B14, Data_Transaksi!$B:$B, 2023, Data_Transaksi!$G:$G, "Pengeluaran")</f>
        <v/>
      </c>
      <c r="D14" s="36">
        <f>SUMIFS(Data_Transaksi!$H:$H, Data_Transaksi!$F:$F, $B14, Data_Transaksi!$B:$B, 2024, Data_Transaksi!$G:$G, "Pengeluaran")</f>
        <v/>
      </c>
      <c r="E14" s="36">
        <f>SUMIFS(Data_Transaksi!$H:$H, Data_Transaksi!$F:$F, $B14, Data_Transaksi!$B:$B, 2025, Data_Transaksi!$G:$G, "Pengeluaran")</f>
        <v/>
      </c>
      <c r="F14" s="36">
        <f>SUMIFS(Data_Transaksi!$H:$H, Data_Transaksi!$F:$F, $B14, Data_Transaksi!$B:$B, 2026, Data_Transaksi!$G:$G, "Pengeluaran")</f>
        <v/>
      </c>
      <c r="G14" s="17">
        <f>SUM(C14:F14)</f>
        <v/>
      </c>
      <c r="H14" s="33">
        <f>G14/$G$20</f>
        <v/>
      </c>
    </row>
    <row r="15">
      <c r="A15" s="20" t="n">
        <v>11</v>
      </c>
      <c r="B15" s="30" t="inlineStr">
        <is>
          <t>Konsumsi &amp; Kegiatan</t>
        </is>
      </c>
      <c r="C15" s="35">
        <f>SUMIFS(Data_Transaksi!$H:$H, Data_Transaksi!$F:$F, $B15, Data_Transaksi!$B:$B, 2023, Data_Transaksi!$G:$G, "Pengeluaran")</f>
        <v/>
      </c>
      <c r="D15" s="35">
        <f>SUMIFS(Data_Transaksi!$H:$H, Data_Transaksi!$F:$F, $B15, Data_Transaksi!$B:$B, 2024, Data_Transaksi!$G:$G, "Pengeluaran")</f>
        <v/>
      </c>
      <c r="E15" s="35">
        <f>SUMIFS(Data_Transaksi!$H:$H, Data_Transaksi!$F:$F, $B15, Data_Transaksi!$B:$B, 2025, Data_Transaksi!$G:$G, "Pengeluaran")</f>
        <v/>
      </c>
      <c r="F15" s="35">
        <f>SUMIFS(Data_Transaksi!$H:$H, Data_Transaksi!$F:$F, $B15, Data_Transaksi!$B:$B, 2026, Data_Transaksi!$G:$G, "Pengeluaran")</f>
        <v/>
      </c>
      <c r="G15" s="13">
        <f>SUM(C15:F15)</f>
        <v/>
      </c>
      <c r="H15" s="31">
        <f>G15/$G$20</f>
        <v/>
      </c>
    </row>
    <row r="16">
      <c r="A16" s="23" t="n">
        <v>12</v>
      </c>
      <c r="B16" s="32" t="inlineStr">
        <is>
          <t>Aset &amp; Operasional</t>
        </is>
      </c>
      <c r="C16" s="36">
        <f>SUMIFS(Data_Transaksi!$H:$H, Data_Transaksi!$F:$F, $B16, Data_Transaksi!$B:$B, 2023, Data_Transaksi!$G:$G, "Pengeluaran")</f>
        <v/>
      </c>
      <c r="D16" s="36">
        <f>SUMIFS(Data_Transaksi!$H:$H, Data_Transaksi!$F:$F, $B16, Data_Transaksi!$B:$B, 2024, Data_Transaksi!$G:$G, "Pengeluaran")</f>
        <v/>
      </c>
      <c r="E16" s="36">
        <f>SUMIFS(Data_Transaksi!$H:$H, Data_Transaksi!$F:$F, $B16, Data_Transaksi!$B:$B, 2025, Data_Transaksi!$G:$G, "Pengeluaran")</f>
        <v/>
      </c>
      <c r="F16" s="36">
        <f>SUMIFS(Data_Transaksi!$H:$H, Data_Transaksi!$F:$F, $B16, Data_Transaksi!$B:$B, 2026, Data_Transaksi!$G:$G, "Pengeluaran")</f>
        <v/>
      </c>
      <c r="G16" s="17">
        <f>SUM(C16:F16)</f>
        <v/>
      </c>
      <c r="H16" s="33">
        <f>G16/$G$20</f>
        <v/>
      </c>
    </row>
    <row r="17">
      <c r="A17" s="20" t="n">
        <v>13</v>
      </c>
      <c r="B17" s="30" t="inlineStr">
        <is>
          <t>Pembangunan Gedung</t>
        </is>
      </c>
      <c r="C17" s="35">
        <f>SUMIFS(Data_Transaksi!$H:$H, Data_Transaksi!$F:$F, $B17, Data_Transaksi!$B:$B, 2023, Data_Transaksi!$G:$G, "Pengeluaran")</f>
        <v/>
      </c>
      <c r="D17" s="35">
        <f>SUMIFS(Data_Transaksi!$H:$H, Data_Transaksi!$F:$F, $B17, Data_Transaksi!$B:$B, 2024, Data_Transaksi!$G:$G, "Pengeluaran")</f>
        <v/>
      </c>
      <c r="E17" s="35">
        <f>SUMIFS(Data_Transaksi!$H:$H, Data_Transaksi!$F:$F, $B17, Data_Transaksi!$B:$B, 2025, Data_Transaksi!$G:$G, "Pengeluaran")</f>
        <v/>
      </c>
      <c r="F17" s="35">
        <f>SUMIFS(Data_Transaksi!$H:$H, Data_Transaksi!$F:$F, $B17, Data_Transaksi!$B:$B, 2026, Data_Transaksi!$G:$G, "Pengeluaran")</f>
        <v/>
      </c>
      <c r="G17" s="13">
        <f>SUM(C17:F17)</f>
        <v/>
      </c>
      <c r="H17" s="31">
        <f>G17/$G$20</f>
        <v/>
      </c>
    </row>
    <row r="18">
      <c r="A18" s="23" t="n">
        <v>14</v>
      </c>
      <c r="B18" s="32" t="inlineStr">
        <is>
          <t>Setor COS TSCUF</t>
        </is>
      </c>
      <c r="C18" s="36">
        <f>SUMIFS(Data_Transaksi!$H:$H, Data_Transaksi!$F:$F, $B18, Data_Transaksi!$B:$B, 2023, Data_Transaksi!$G:$G, "Pengeluaran")</f>
        <v/>
      </c>
      <c r="D18" s="36">
        <f>SUMIFS(Data_Transaksi!$H:$H, Data_Transaksi!$F:$F, $B18, Data_Transaksi!$B:$B, 2024, Data_Transaksi!$G:$G, "Pengeluaran")</f>
        <v/>
      </c>
      <c r="E18" s="36">
        <f>SUMIFS(Data_Transaksi!$H:$H, Data_Transaksi!$F:$F, $B18, Data_Transaksi!$B:$B, 2025, Data_Transaksi!$G:$G, "Pengeluaran")</f>
        <v/>
      </c>
      <c r="F18" s="36">
        <f>SUMIFS(Data_Transaksi!$H:$H, Data_Transaksi!$F:$F, $B18, Data_Transaksi!$B:$B, 2026, Data_Transaksi!$G:$G, "Pengeluaran")</f>
        <v/>
      </c>
      <c r="G18" s="17">
        <f>SUM(C18:F18)</f>
        <v/>
      </c>
      <c r="H18" s="33">
        <f>G18/$G$20</f>
        <v/>
      </c>
    </row>
    <row r="19">
      <c r="A19" s="20" t="n">
        <v>15</v>
      </c>
      <c r="B19" s="30" t="inlineStr">
        <is>
          <t>Penghargaan Karyawan</t>
        </is>
      </c>
      <c r="C19" s="35">
        <f>SUMIFS(Data_Transaksi!$H:$H, Data_Transaksi!$F:$F, $B19, Data_Transaksi!$B:$B, 2023, Data_Transaksi!$G:$G, "Pengeluaran")</f>
        <v/>
      </c>
      <c r="D19" s="35">
        <f>SUMIFS(Data_Transaksi!$H:$H, Data_Transaksi!$F:$F, $B19, Data_Transaksi!$B:$B, 2024, Data_Transaksi!$G:$G, "Pengeluaran")</f>
        <v/>
      </c>
      <c r="E19" s="35">
        <f>SUMIFS(Data_Transaksi!$H:$H, Data_Transaksi!$F:$F, $B19, Data_Transaksi!$B:$B, 2025, Data_Transaksi!$G:$G, "Pengeluaran")</f>
        <v/>
      </c>
      <c r="F19" s="35">
        <f>SUMIFS(Data_Transaksi!$H:$H, Data_Transaksi!$F:$F, $B19, Data_Transaksi!$B:$B, 2026, Data_Transaksi!$G:$G, "Pengeluaran")</f>
        <v/>
      </c>
      <c r="G19" s="13">
        <f>SUM(C19:F19)</f>
        <v/>
      </c>
      <c r="H19" s="31">
        <f>G19/$G$20</f>
        <v/>
      </c>
    </row>
    <row r="20">
      <c r="A20" s="27" t="n"/>
      <c r="B20" s="26" t="inlineStr">
        <is>
          <t>TOTAL PENGELUARAN</t>
        </is>
      </c>
      <c r="C20" s="19">
        <f>SUM(C5:C19)</f>
        <v/>
      </c>
      <c r="D20" s="19">
        <f>SUM(D5:D19)</f>
        <v/>
      </c>
      <c r="E20" s="19">
        <f>SUM(E5:E19)</f>
        <v/>
      </c>
      <c r="F20" s="19">
        <f>SUM(F5:F19)</f>
        <v/>
      </c>
      <c r="G20" s="19">
        <f>SUM(G5:G19)</f>
        <v/>
      </c>
      <c r="H20" s="34">
        <f>SUM(H5:H19)</f>
        <v/>
      </c>
    </row>
  </sheetData>
  <mergeCells count="2">
    <mergeCell ref="A1:H2"/>
    <mergeCell ref="A3:H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2026-08-27T09:37:01Z</dcterms:created>
  <dcterms:modified xsi:type="dcterms:W3CDTF">2026-08-27T09:37:02Z</dcterms:modified>
</cp:coreProperties>
</file>